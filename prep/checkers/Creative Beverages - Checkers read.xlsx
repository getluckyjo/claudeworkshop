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Distribution gaps" sheetId="3" state="visible" r:id="rId3"/>
    <sheet name="Data" sheetId="4" state="visible" r:id="rId4"/>
    <sheet name="By product" sheetId="5" state="visible" r:id="rId5"/>
  </sheets>
  <definedNames>
    <definedName name="_xlnm._FilterDatabase" localSheetId="4" hidden="1">'By product'!$A$4:$I$37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A1A1A"/>
      <sz val="15"/>
    </font>
    <font>
      <name val="Arial"/>
      <color rgb="006F6F73"/>
      <sz val="9"/>
    </font>
    <font>
      <name val="Arial"/>
      <b val="1"/>
      <color rgb="00F25C2A"/>
      <sz val="10"/>
    </font>
    <font>
      <name val="Arial"/>
      <color rgb="001A1A1A"/>
      <sz val="10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1A1A1A"/>
      <sz val="9"/>
    </font>
    <font>
      <name val="Arial"/>
      <color rgb="00008000"/>
      <sz val="10"/>
    </font>
    <font>
      <name val="Arial"/>
      <b val="1"/>
      <color rgb="001A1A1A"/>
      <sz val="10"/>
    </font>
    <font>
      <name val="Arial"/>
      <i val="1"/>
      <color rgb="00F25C2A"/>
      <sz val="10"/>
    </font>
    <font>
      <name val="Arial"/>
      <i val="1"/>
      <color rgb="00F25C2A"/>
      <sz val="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CE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8" fillId="0" borderId="0" pivotButton="0" quotePrefix="0" xfId="0"/>
    <xf numFmtId="164" fontId="9" fillId="0" borderId="0" pivotButton="0" quotePrefix="0" xfId="0"/>
    <xf numFmtId="3" fontId="8" fillId="0" borderId="0" pivotButton="0" quotePrefix="0" xfId="0"/>
    <xf numFmtId="3" fontId="9" fillId="0" borderId="0" pivotButton="0" quotePrefix="0" xfId="0"/>
    <xf numFmtId="0" fontId="9" fillId="0" borderId="0" pivotButton="0" quotePrefix="0" xfId="0"/>
    <xf numFmtId="9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9" fontId="7" fillId="0" borderId="0" pivotButton="0" quotePrefix="0" xfId="0"/>
    <xf numFmtId="3" fontId="7" fillId="0" borderId="0" pivotButton="0" quotePrefix="0" xfId="0"/>
    <xf numFmtId="0" fontId="7" fillId="3" borderId="0" pivotButton="0" quotePrefix="0" xfId="0"/>
    <xf numFmtId="9" fontId="7" fillId="3" borderId="0" pivotButton="0" quotePrefix="0" xfId="0"/>
    <xf numFmtId="3" fontId="7" fillId="3" borderId="0" pivotButton="0" quotePrefix="0" xfId="0"/>
    <xf numFmtId="0" fontId="11" fillId="0" borderId="0" pivotButton="0" quotePrefix="0" xfId="0"/>
    <xf numFmtId="0" fontId="6" fillId="0" borderId="0" pivotButton="0" quotePrefix="0" xfId="0"/>
    <xf numFmtId="4" fontId="6" fillId="0" borderId="0" pivotButton="0" quotePrefix="0" xfId="0"/>
    <xf numFmtId="3" fontId="6" fillId="0" borderId="0" pivotButton="0" quotePrefix="0" xfId="0"/>
    <xf numFmtId="164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Checkers read — Creative Beverages</t>
        </is>
      </c>
    </row>
    <row r="2">
      <c r="A2" s="2" t="inlineStr">
        <is>
          <t>Built at the Entrepreneur Coach workshop, 22 August 2026</t>
        </is>
      </c>
    </row>
    <row r="5">
      <c r="A5" s="3" t="inlineStr">
        <is>
          <t>What this is</t>
        </is>
      </c>
    </row>
    <row r="6">
      <c r="B6" s="4" t="inlineStr">
        <is>
          <t>Your two Checkers exports turned into the three answers you asked for:</t>
        </is>
      </c>
    </row>
    <row r="7">
      <c r="B7" s="4" t="inlineStr">
        <is>
          <t>who is out of stock, what is selling, and what is not.</t>
        </is>
      </c>
    </row>
    <row r="8">
      <c r="B8" s="4" t="inlineStr">
        <is>
          <t>Patch is reported separately from the core range, the way Checkers</t>
        </is>
      </c>
    </row>
    <row r="9">
      <c r="B9" s="4" t="inlineStr">
        <is>
          <t>already structures the account (vendor 196005, sub-ranges 01 and 02).</t>
        </is>
      </c>
    </row>
    <row r="11">
      <c r="A11" s="3" t="inlineStr">
        <is>
          <t>How to refresh it next week</t>
        </is>
      </c>
    </row>
    <row r="12">
      <c r="B12" s="4" t="inlineStr">
        <is>
          <t>1. Download both exports from Checkers as usual</t>
        </is>
      </c>
    </row>
    <row r="13">
      <c r="B13" s="4" t="inlineStr">
        <is>
          <t>2. Ask Claude: "rebuild my Checkers read from these two files"</t>
        </is>
      </c>
    </row>
    <row r="14">
      <c r="B14" s="4" t="inlineStr">
        <is>
          <t>3. Everything on the other sheets recalculates. Nothing to retype.</t>
        </is>
      </c>
    </row>
    <row r="16">
      <c r="A16" s="3" t="inlineStr">
        <is>
          <t>Three things this gets right that a quick look gets wrong</t>
        </is>
      </c>
    </row>
    <row r="17">
      <c r="B17" s="4" t="inlineStr">
        <is>
          <t>1. Every article appears once per pack — single, 4-pack, 24-pack.</t>
        </is>
      </c>
    </row>
    <row r="18">
      <c r="B18" s="4" t="inlineStr">
        <is>
          <t xml:space="preserve">   Those are different products on shelf with their own sales, so</t>
        </is>
      </c>
    </row>
    <row r="19">
      <c r="B19" s="4" t="inlineStr">
        <is>
          <t xml:space="preserve">   rand values are added across them. Ignore the multipacks and you</t>
        </is>
      </c>
    </row>
    <row r="20">
      <c r="B20" s="4" t="inlineStr">
        <is>
          <t xml:space="preserve">   lose most of the revenue: Margarita is R374k, of which R320k is</t>
        </is>
      </c>
    </row>
    <row r="21">
      <c r="B21" s="4" t="inlineStr">
        <is>
          <t xml:space="preserve">   the 4-pack alone.</t>
        </is>
      </c>
    </row>
    <row r="22">
      <c r="B22" s="4" t="inlineStr">
        <is>
          <t>2. Units are not comparable across those rows — one counts single</t>
        </is>
      </c>
    </row>
    <row r="23">
      <c r="B23" s="4" t="inlineStr">
        <is>
          <t xml:space="preserve">   cans, the next counts 4-packs. They are converted to eaches</t>
        </is>
      </c>
    </row>
    <row r="24">
      <c r="B24" s="4" t="inlineStr">
        <is>
          <t xml:space="preserve">   (units x pack size) before being added.</t>
        </is>
      </c>
    </row>
    <row r="25">
      <c r="B25" s="4" t="inlineStr">
        <is>
          <t>3. Store counts repeat on every pack row, so the highest is taken</t>
        </is>
      </c>
    </row>
    <row r="26">
      <c r="B26" s="4" t="inlineStr">
        <is>
          <t xml:space="preserve">   per article rather than the sum. Checkers' own total sheet sums</t>
        </is>
      </c>
    </row>
    <row r="27">
      <c r="B27" s="4" t="inlineStr">
        <is>
          <t xml:space="preserve">   them, which is why its listing count reads about 3x too high.</t>
        </is>
      </c>
    </row>
    <row r="29">
      <c r="A29" s="3" t="inlineStr">
        <is>
          <t>Checked against source</t>
        </is>
      </c>
    </row>
    <row r="30">
      <c r="B30" s="4" t="inlineStr">
        <is>
          <t>Totals on this workbook reconcile exactly to the 'Vendor and VSR</t>
        </is>
      </c>
    </row>
    <row r="31">
      <c r="B31" s="4" t="inlineStr">
        <is>
          <t>Total View' sheet in each export: R803,732.61 core, R954,647.47 Patch.</t>
        </is>
      </c>
    </row>
    <row r="33">
      <c r="A33" s="3" t="inlineStr">
        <is>
          <t>Still to confirm with you</t>
        </is>
      </c>
    </row>
    <row r="34">
      <c r="B34" s="4" t="inlineStr">
        <is>
          <t>· Negroni and Old Fashioned show 0 active stores but did sell.</t>
        </is>
      </c>
    </row>
    <row r="35">
      <c r="B35" s="4" t="inlineStr">
        <is>
          <t xml:space="preserve">  Is 'active' a current-range flag rather than sold-in-period?</t>
        </is>
      </c>
    </row>
    <row r="36">
      <c r="B36" s="4" t="inlineStr">
        <is>
          <t>· Sales are the latest period, excluding VAT, as Checkers reports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Summary</t>
        </is>
      </c>
    </row>
    <row r="2">
      <c r="A2" s="2" t="inlineStr">
        <is>
          <t>Latest period. Patch and the core range kept apart, as Checkers structures them.</t>
        </is>
      </c>
    </row>
    <row r="4" ht="28" customHeight="1">
      <c r="A4" s="5" t="inlineStr"/>
      <c r="B4" s="5" t="inlineStr">
        <is>
          <t>Patch</t>
        </is>
      </c>
      <c r="C4" s="5" t="inlineStr">
        <is>
          <t>Core range</t>
        </is>
      </c>
      <c r="D4" s="5" t="inlineStr">
        <is>
          <t>Total</t>
        </is>
      </c>
    </row>
    <row r="5">
      <c r="A5" s="4" t="inlineStr">
        <is>
          <t>Sales (excl VAT)</t>
        </is>
      </c>
      <c r="B5" s="6">
        <f>SUMIF('By product'!$A$5:$A$37,B$4,'By product'!$H$5:$H$37)</f>
        <v/>
      </c>
      <c r="C5" s="6">
        <f>SUMIF('By product'!$A$5:$A$37,C$4,'By product'!$H$5:$H$37)</f>
        <v/>
      </c>
      <c r="D5" s="7">
        <f>B5+C5</f>
        <v/>
      </c>
    </row>
    <row r="6">
      <c r="A6" s="4" t="inlineStr">
        <is>
          <t>Eaches sold, latest week</t>
        </is>
      </c>
      <c r="B6" s="8">
        <f>SUMIF('By product'!$A$5:$A$37,B$4,'By product'!$G$5:$G$37)</f>
        <v/>
      </c>
      <c r="C6" s="8">
        <f>SUMIF('By product'!$A$5:$A$37,C$4,'By product'!$G$5:$G$37)</f>
        <v/>
      </c>
      <c r="D6" s="9">
        <f>B6+C6</f>
        <v/>
      </c>
    </row>
    <row r="7">
      <c r="A7" s="4" t="inlineStr">
        <is>
          <t>Products listed</t>
        </is>
      </c>
      <c r="B7" s="8">
        <f>COUNTIF('By product'!$A$5:$A$37,B$4)</f>
        <v/>
      </c>
      <c r="C7" s="8">
        <f>COUNTIF('By product'!$A$5:$A$37,C$4)</f>
        <v/>
      </c>
      <c r="D7" s="9">
        <f>B7+C7</f>
        <v/>
      </c>
    </row>
    <row r="8">
      <c r="A8" s="4" t="inlineStr">
        <is>
          <t>Products actually selling</t>
        </is>
      </c>
      <c r="B8" s="8">
        <f>COUNTIFS('By product'!$A$5:$A$37,B$4,'By product'!$H$5:$H$37,"&gt;0")</f>
        <v/>
      </c>
      <c r="C8" s="8">
        <f>COUNTIFS('By product'!$A$5:$A$37,C$4,'By product'!$H$5:$H$37,"&gt;0")</f>
        <v/>
      </c>
      <c r="D8" s="9">
        <f>B8+C8</f>
        <v/>
      </c>
    </row>
    <row r="9">
      <c r="A9" s="4" t="inlineStr">
        <is>
          <t>Listings</t>
        </is>
      </c>
      <c r="B9" s="8">
        <f>SUMIF('By product'!$A$5:$A$37,B$4,'By product'!$D$5:$D$37)</f>
        <v/>
      </c>
      <c r="C9" s="8">
        <f>SUMIF('By product'!$A$5:$A$37,C$4,'By product'!$D$5:$D$37)</f>
        <v/>
      </c>
      <c r="D9" s="9">
        <f>B9+C9</f>
        <v/>
      </c>
    </row>
    <row r="10">
      <c r="A10" s="4" t="inlineStr">
        <is>
          <t>Active store slots</t>
        </is>
      </c>
      <c r="B10" s="8">
        <f>SUMIF('By product'!$A$5:$A$37,B$4,'By product'!$E$5:$E$37)</f>
        <v/>
      </c>
      <c r="C10" s="8">
        <f>SUMIF('By product'!$A$5:$A$37,C$4,'By product'!$E$5:$E$37)</f>
        <v/>
      </c>
      <c r="D10" s="9">
        <f>B10+C10</f>
        <v/>
      </c>
    </row>
    <row r="11">
      <c r="A11" s="10" t="inlineStr">
        <is>
          <t>Activation rate</t>
        </is>
      </c>
      <c r="B11" s="11">
        <f>IF(B9=0,"",B10/B9)</f>
        <v/>
      </c>
      <c r="C11" s="11">
        <f>IF(C9=0,"",C10/C9)</f>
        <v/>
      </c>
      <c r="D11" s="11">
        <f>IF(D9=0,"",D10/D9)</f>
        <v/>
      </c>
    </row>
    <row r="13">
      <c r="A13" s="12" t="inlineStr">
        <is>
          <t>Patch is 6 products. The core range is 27. Read the sales line next to that.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3" customWidth="1" min="4" max="4"/>
    <col width="11" customWidth="1" min="5" max="5"/>
    <col width="17" customWidth="1" min="6" max="6"/>
  </cols>
  <sheetData>
    <row r="1">
      <c r="A1" s="1" t="inlineStr">
        <is>
          <t>Distribution gaps</t>
        </is>
      </c>
    </row>
    <row r="2">
      <c r="A2" s="2" t="inlineStr">
        <is>
          <t>Where you have a listing and no sale. Sorted by the size of the gap.</t>
        </is>
      </c>
    </row>
    <row r="4" ht="28" customHeight="1">
      <c r="A4" s="5" t="inlineStr">
        <is>
          <t>Portfolio</t>
        </is>
      </c>
      <c r="B4" s="5" t="inlineStr">
        <is>
          <t>Article</t>
        </is>
      </c>
      <c r="C4" s="5" t="inlineStr">
        <is>
          <t>Listed stores</t>
        </is>
      </c>
      <c r="D4" s="5" t="inlineStr">
        <is>
          <t>Active stores</t>
        </is>
      </c>
      <c r="E4" s="5" t="inlineStr">
        <is>
          <t>Activation</t>
        </is>
      </c>
      <c r="F4" s="5" t="inlineStr">
        <is>
          <t>Stores not selling</t>
        </is>
      </c>
    </row>
    <row r="5">
      <c r="A5" s="13" t="inlineStr">
        <is>
          <t>Core</t>
        </is>
      </c>
      <c r="B5" s="13" t="inlineStr">
        <is>
          <t>BEER KRYSTEL WEISS CBC 340ML BOT</t>
        </is>
      </c>
      <c r="C5" s="13" t="n">
        <v>958</v>
      </c>
      <c r="D5" s="13" t="n">
        <v>136</v>
      </c>
      <c r="E5" s="14">
        <f>IF(C5=0,"",D5/C5)</f>
        <v/>
      </c>
      <c r="F5" s="15">
        <f>C5-D5</f>
        <v/>
      </c>
    </row>
    <row r="6">
      <c r="A6" s="13" t="inlineStr">
        <is>
          <t>Core</t>
        </is>
      </c>
      <c r="B6" s="13" t="inlineStr">
        <is>
          <t>BEER PILSNER CBC 340ML NRB</t>
        </is>
      </c>
      <c r="C6" s="13" t="n">
        <v>960</v>
      </c>
      <c r="D6" s="13" t="n">
        <v>138</v>
      </c>
      <c r="E6" s="14">
        <f>IF(C6=0,"",D6/C6)</f>
        <v/>
      </c>
      <c r="F6" s="15">
        <f>C6-D6</f>
        <v/>
      </c>
    </row>
    <row r="7">
      <c r="A7" s="13" t="inlineStr">
        <is>
          <t>Core</t>
        </is>
      </c>
      <c r="B7" s="13" t="inlineStr">
        <is>
          <t>BEER ALE PALE CBC 340ML NRB</t>
        </is>
      </c>
      <c r="C7" s="13" t="n">
        <v>950</v>
      </c>
      <c r="D7" s="13" t="n">
        <v>131</v>
      </c>
      <c r="E7" s="14">
        <f>IF(C7=0,"",D7/C7)</f>
        <v/>
      </c>
      <c r="F7" s="15">
        <f>C7-D7</f>
        <v/>
      </c>
    </row>
    <row r="8">
      <c r="A8" s="13" t="inlineStr">
        <is>
          <t>Core</t>
        </is>
      </c>
      <c r="B8" s="13" t="inlineStr">
        <is>
          <t>BEER LAGER CBC 340ML BOT</t>
        </is>
      </c>
      <c r="C8" s="13" t="n">
        <v>961</v>
      </c>
      <c r="D8" s="13" t="n">
        <v>143</v>
      </c>
      <c r="E8" s="14">
        <f>IF(C8=0,"",D8/C8)</f>
        <v/>
      </c>
      <c r="F8" s="15">
        <f>C8-D8</f>
        <v/>
      </c>
    </row>
    <row r="9">
      <c r="A9" s="13" t="inlineStr">
        <is>
          <t>Core</t>
        </is>
      </c>
      <c r="B9" s="13" t="inlineStr">
        <is>
          <t>BEER LAGER LITE CBC 340ML NRB</t>
        </is>
      </c>
      <c r="C9" s="13" t="n">
        <v>947</v>
      </c>
      <c r="D9" s="13" t="n">
        <v>143</v>
      </c>
      <c r="E9" s="14">
        <f>IF(C9=0,"",D9/C9)</f>
        <v/>
      </c>
      <c r="F9" s="15">
        <f>C9-D9</f>
        <v/>
      </c>
    </row>
    <row r="10">
      <c r="A10" s="13" t="inlineStr">
        <is>
          <t>Core</t>
        </is>
      </c>
      <c r="B10" s="13" t="inlineStr">
        <is>
          <t>BEER AMBER WEISS CBC 440ML NRB</t>
        </is>
      </c>
      <c r="C10" s="13" t="n">
        <v>862</v>
      </c>
      <c r="D10" s="13" t="n">
        <v>124</v>
      </c>
      <c r="E10" s="14">
        <f>IF(C10=0,"",D10/C10)</f>
        <v/>
      </c>
      <c r="F10" s="15">
        <f>C10-D10</f>
        <v/>
      </c>
    </row>
    <row r="11">
      <c r="A11" s="16" t="inlineStr">
        <is>
          <t>Core</t>
        </is>
      </c>
      <c r="B11" s="16" t="inlineStr">
        <is>
          <t>BEER LAGER TRUEMAN 660ML NRB</t>
        </is>
      </c>
      <c r="C11" s="16" t="n">
        <v>473</v>
      </c>
      <c r="D11" s="16" t="n">
        <v>0</v>
      </c>
      <c r="E11" s="17">
        <f>IF(C11=0,"",D11/C11)</f>
        <v/>
      </c>
      <c r="F11" s="18">
        <f>C11-D11</f>
        <v/>
      </c>
    </row>
    <row r="12">
      <c r="A12" s="16" t="inlineStr">
        <is>
          <t>Core</t>
        </is>
      </c>
      <c r="B12" s="16" t="inlineStr">
        <is>
          <t>GIN&amp;TONIC N-ALC BOTANICL THE DUCHES300ML</t>
        </is>
      </c>
      <c r="C12" s="16" t="n">
        <v>343</v>
      </c>
      <c r="D12" s="16" t="n">
        <v>0</v>
      </c>
      <c r="E12" s="17">
        <f>IF(C12=0,"",D12/C12)</f>
        <v/>
      </c>
      <c r="F12" s="18">
        <f>C12-D12</f>
        <v/>
      </c>
    </row>
    <row r="13">
      <c r="A13" s="16" t="inlineStr">
        <is>
          <t>Core</t>
        </is>
      </c>
      <c r="B13" s="16" t="inlineStr">
        <is>
          <t>GIN&amp;TONIC N-ALC FLORAL THE DUCHESS 300ML</t>
        </is>
      </c>
      <c r="C13" s="16" t="n">
        <v>343</v>
      </c>
      <c r="D13" s="16" t="n">
        <v>0</v>
      </c>
      <c r="E13" s="17">
        <f>IF(C13=0,"",D13/C13)</f>
        <v/>
      </c>
      <c r="F13" s="18">
        <f>C13-D13</f>
        <v/>
      </c>
    </row>
    <row r="14">
      <c r="A14" s="16" t="inlineStr">
        <is>
          <t>Core</t>
        </is>
      </c>
      <c r="B14" s="16" t="inlineStr">
        <is>
          <t>CIDER REKORDERLIG 500ML BOT, WILD BERRY</t>
        </is>
      </c>
      <c r="C14" s="16" t="n">
        <v>331</v>
      </c>
      <c r="D14" s="16" t="n">
        <v>0</v>
      </c>
      <c r="E14" s="17">
        <f>IF(C14=0,"",D14/C14)</f>
        <v/>
      </c>
      <c r="F14" s="18">
        <f>C14-D14</f>
        <v/>
      </c>
    </row>
    <row r="15">
      <c r="A15" s="16" t="inlineStr">
        <is>
          <t>Patch</t>
        </is>
      </c>
      <c r="B15" s="16" t="inlineStr">
        <is>
          <t>COCKTAIL PATCH 150ML, NEGRONI</t>
        </is>
      </c>
      <c r="C15" s="16" t="n">
        <v>225</v>
      </c>
      <c r="D15" s="16" t="n">
        <v>0</v>
      </c>
      <c r="E15" s="17">
        <f>IF(C15=0,"",D15/C15)</f>
        <v/>
      </c>
      <c r="F15" s="18">
        <f>C15-D15</f>
        <v/>
      </c>
    </row>
    <row r="16">
      <c r="A16" s="16" t="inlineStr">
        <is>
          <t>Patch</t>
        </is>
      </c>
      <c r="B16" s="16" t="inlineStr">
        <is>
          <t>COCKTAIL PATCH 150ML, OLD FASHIONED</t>
        </is>
      </c>
      <c r="C16" s="16" t="n">
        <v>225</v>
      </c>
      <c r="D16" s="16" t="n">
        <v>0</v>
      </c>
      <c r="E16" s="17">
        <f>IF(C16=0,"",D16/C16)</f>
        <v/>
      </c>
      <c r="F16" s="18">
        <f>C16-D16</f>
        <v/>
      </c>
    </row>
    <row r="17">
      <c r="A17" s="13" t="inlineStr">
        <is>
          <t>Core</t>
        </is>
      </c>
      <c r="B17" s="13" t="inlineStr">
        <is>
          <t>BEER WEST COAST IPA CBC 340ML NRB</t>
        </is>
      </c>
      <c r="C17" s="13" t="n">
        <v>354</v>
      </c>
      <c r="D17" s="13" t="n">
        <v>142</v>
      </c>
      <c r="E17" s="14">
        <f>IF(C17=0,"",D17/C17)</f>
        <v/>
      </c>
      <c r="F17" s="15">
        <f>C17-D17</f>
        <v/>
      </c>
    </row>
    <row r="18">
      <c r="A18" s="16" t="inlineStr">
        <is>
          <t>Core</t>
        </is>
      </c>
      <c r="B18" s="16" t="inlineStr">
        <is>
          <t>BEER GOLDEN LAGER DIESEL&amp;DUST 340ML NRB</t>
        </is>
      </c>
      <c r="C18" s="16" t="n">
        <v>98</v>
      </c>
      <c r="D18" s="16" t="n">
        <v>0</v>
      </c>
      <c r="E18" s="17">
        <f>IF(C18=0,"",D18/C18)</f>
        <v/>
      </c>
      <c r="F18" s="18">
        <f>C18-D18</f>
        <v/>
      </c>
    </row>
    <row r="19">
      <c r="A19" s="16" t="inlineStr">
        <is>
          <t>Core</t>
        </is>
      </c>
      <c r="B19" s="16" t="inlineStr">
        <is>
          <t>BEER BLOND ALE DIESEL&amp;DUST 340ML NRB</t>
        </is>
      </c>
      <c r="C19" s="16" t="n">
        <v>98</v>
      </c>
      <c r="D19" s="16" t="n">
        <v>0</v>
      </c>
      <c r="E19" s="17">
        <f>IF(C19=0,"",D19/C19)</f>
        <v/>
      </c>
      <c r="F19" s="18">
        <f>C19-D19</f>
        <v/>
      </c>
    </row>
    <row r="20">
      <c r="A20" s="16" t="inlineStr">
        <is>
          <t>Core</t>
        </is>
      </c>
      <c r="B20" s="16" t="inlineStr">
        <is>
          <t>CIDER VARIETY PACK REKORDERLIG 8X330ML</t>
        </is>
      </c>
      <c r="C20" s="16" t="n">
        <v>25</v>
      </c>
      <c r="D20" s="16" t="n">
        <v>0</v>
      </c>
      <c r="E20" s="17">
        <f>IF(C20=0,"",D20/C20)</f>
        <v/>
      </c>
      <c r="F20" s="18">
        <f>C20-D20</f>
        <v/>
      </c>
    </row>
    <row r="21">
      <c r="A21" s="16" t="inlineStr">
        <is>
          <t>Core</t>
        </is>
      </c>
      <c r="B21" s="16" t="inlineStr">
        <is>
          <t>BEER PILSNER CBC 440ML NRB</t>
        </is>
      </c>
      <c r="C21" s="16" t="n">
        <v>9</v>
      </c>
      <c r="D21" s="16" t="n">
        <v>0</v>
      </c>
      <c r="E21" s="17">
        <f>IF(C21=0,"",D21/C21)</f>
        <v/>
      </c>
      <c r="F21" s="18">
        <f>C21-D21</f>
        <v/>
      </c>
    </row>
    <row r="22">
      <c r="A22" s="16" t="inlineStr">
        <is>
          <t>Core</t>
        </is>
      </c>
      <c r="B22" s="16" t="inlineStr">
        <is>
          <t>BEER ALE PALE CBC 330ML CAN</t>
        </is>
      </c>
      <c r="C22" s="16" t="n">
        <v>9</v>
      </c>
      <c r="D22" s="16" t="n">
        <v>0</v>
      </c>
      <c r="E22" s="17">
        <f>IF(C22=0,"",D22/C22)</f>
        <v/>
      </c>
      <c r="F22" s="18">
        <f>C22-D22</f>
        <v/>
      </c>
    </row>
    <row r="23">
      <c r="A23" s="13" t="inlineStr">
        <is>
          <t>Core</t>
        </is>
      </c>
      <c r="B23" s="13" t="inlineStr">
        <is>
          <t>BEER MILK STOUT CBC 340ML NRB</t>
        </is>
      </c>
      <c r="C23" s="13" t="n">
        <v>143</v>
      </c>
      <c r="D23" s="13" t="n">
        <v>138</v>
      </c>
      <c r="E23" s="14">
        <f>IF(C23=0,"",D23/C23)</f>
        <v/>
      </c>
      <c r="F23" s="15">
        <f>C23-D23</f>
        <v/>
      </c>
    </row>
    <row r="24">
      <c r="A24" s="16" t="inlineStr">
        <is>
          <t>Core</t>
        </is>
      </c>
      <c r="B24" s="16" t="inlineStr">
        <is>
          <t>CIDER REKORDERLIG 500ML BOT, STRAWB LIME</t>
        </is>
      </c>
      <c r="C24" s="16" t="n">
        <v>5</v>
      </c>
      <c r="D24" s="16" t="n">
        <v>0</v>
      </c>
      <c r="E24" s="17">
        <f>IF(C24=0,"",D24/C24)</f>
        <v/>
      </c>
      <c r="F24" s="18">
        <f>C24-D24</f>
        <v/>
      </c>
    </row>
    <row r="25">
      <c r="A25" s="13" t="inlineStr">
        <is>
          <t>Core</t>
        </is>
      </c>
      <c r="B25" s="13" t="inlineStr">
        <is>
          <t>CIDER NON-ALC STRWB LME REKORDELIG 330ML</t>
        </is>
      </c>
      <c r="C25" s="13" t="n">
        <v>394</v>
      </c>
      <c r="D25" s="13" t="n">
        <v>392</v>
      </c>
      <c r="E25" s="14">
        <f>IF(C25=0,"",D25/C25)</f>
        <v/>
      </c>
      <c r="F25" s="15">
        <f>C25-D25</f>
        <v/>
      </c>
    </row>
    <row r="26">
      <c r="A26" s="13" t="inlineStr">
        <is>
          <t>Core</t>
        </is>
      </c>
      <c r="B26" s="13" t="inlineStr">
        <is>
          <t>CIDER STRAWB LIME REKORDERLIG 330ML CAN</t>
        </is>
      </c>
      <c r="C26" s="13" t="n">
        <v>935</v>
      </c>
      <c r="D26" s="13" t="n">
        <v>934</v>
      </c>
      <c r="E26" s="14">
        <f>IF(C26=0,"",D26/C26)</f>
        <v/>
      </c>
      <c r="F26" s="15">
        <f>C26-D26</f>
        <v/>
      </c>
    </row>
    <row r="27">
      <c r="A27" s="13" t="inlineStr">
        <is>
          <t>Core</t>
        </is>
      </c>
      <c r="B27" s="13" t="inlineStr">
        <is>
          <t>CIDER WILD BERRIES REKORDERLIG 330ML</t>
        </is>
      </c>
      <c r="C27" s="13" t="n">
        <v>935</v>
      </c>
      <c r="D27" s="13" t="n">
        <v>934</v>
      </c>
      <c r="E27" s="14">
        <f>IF(C27=0,"",D27/C27)</f>
        <v/>
      </c>
      <c r="F27" s="15">
        <f>C27-D27</f>
        <v/>
      </c>
    </row>
    <row r="28">
      <c r="A28" s="13" t="inlineStr">
        <is>
          <t>Core</t>
        </is>
      </c>
      <c r="B28" s="13" t="inlineStr">
        <is>
          <t>CIDER MANGO RASPB REKORDERLIG 330ML</t>
        </is>
      </c>
      <c r="C28" s="13" t="n">
        <v>935</v>
      </c>
      <c r="D28" s="13" t="n">
        <v>934</v>
      </c>
      <c r="E28" s="14">
        <f>IF(C28=0,"",D28/C28)</f>
        <v/>
      </c>
      <c r="F28" s="15">
        <f>C28-D28</f>
        <v/>
      </c>
    </row>
    <row r="29">
      <c r="A29" s="13" t="inlineStr">
        <is>
          <t>Core</t>
        </is>
      </c>
      <c r="B29" s="13" t="inlineStr">
        <is>
          <t>COOLER ROOIBOS TEAZY 300ML, PEACH</t>
        </is>
      </c>
      <c r="C29" s="13" t="n">
        <v>157</v>
      </c>
      <c r="D29" s="13" t="n">
        <v>157</v>
      </c>
      <c r="E29" s="14">
        <f>IF(C29=0,"",D29/C29)</f>
        <v/>
      </c>
      <c r="F29" s="15">
        <f>C29-D29</f>
        <v/>
      </c>
    </row>
    <row r="30">
      <c r="A30" s="13" t="inlineStr">
        <is>
          <t>Core</t>
        </is>
      </c>
      <c r="B30" s="13" t="inlineStr">
        <is>
          <t>COOLER ROOIBOS TEAZY 300ML, PASSION FRT</t>
        </is>
      </c>
      <c r="C30" s="13" t="n">
        <v>138</v>
      </c>
      <c r="D30" s="13" t="n">
        <v>138</v>
      </c>
      <c r="E30" s="14">
        <f>IF(C30=0,"",D30/C30)</f>
        <v/>
      </c>
      <c r="F30" s="15">
        <f>C30-D30</f>
        <v/>
      </c>
    </row>
    <row r="31">
      <c r="A31" s="13" t="inlineStr">
        <is>
          <t>Core</t>
        </is>
      </c>
      <c r="B31" s="13" t="inlineStr">
        <is>
          <t>COOLER ROOIBOS TEAZY 300ML, WILD BERRY</t>
        </is>
      </c>
      <c r="C31" s="13" t="n">
        <v>157</v>
      </c>
      <c r="D31" s="13" t="n">
        <v>157</v>
      </c>
      <c r="E31" s="14">
        <f>IF(C31=0,"",D31/C31)</f>
        <v/>
      </c>
      <c r="F31" s="15">
        <f>C31-D31</f>
        <v/>
      </c>
    </row>
    <row r="32">
      <c r="A32" s="13" t="inlineStr">
        <is>
          <t>Core</t>
        </is>
      </c>
      <c r="B32" s="13" t="inlineStr">
        <is>
          <t>CIDER PASSION FRUIT REKORDELIG 330ML CAN</t>
        </is>
      </c>
      <c r="C32" s="13" t="n">
        <v>937</v>
      </c>
      <c r="D32" s="13" t="n">
        <v>937</v>
      </c>
      <c r="E32" s="14">
        <f>IF(C32=0,"",D32/C32)</f>
        <v/>
      </c>
      <c r="F32" s="15">
        <f>C32-D32</f>
        <v/>
      </c>
    </row>
    <row r="33">
      <c r="A33" s="13" t="inlineStr">
        <is>
          <t>Core</t>
        </is>
      </c>
      <c r="B33" s="13" t="inlineStr">
        <is>
          <t>CIDER PEACH RASPB REKORDERLIG 330ML NRB</t>
        </is>
      </c>
      <c r="C33" s="13" t="n">
        <v>359</v>
      </c>
      <c r="D33" s="13" t="n">
        <v>359</v>
      </c>
      <c r="E33" s="14">
        <f>IF(C33=0,"",D33/C33)</f>
        <v/>
      </c>
      <c r="F33" s="15">
        <f>C33-D33</f>
        <v/>
      </c>
    </row>
    <row r="34">
      <c r="A34" s="13" t="inlineStr">
        <is>
          <t>Patch</t>
        </is>
      </c>
      <c r="B34" s="13" t="inlineStr">
        <is>
          <t>COCKTAIL PATCH 150ML, MARGARITA</t>
        </is>
      </c>
      <c r="C34" s="13" t="n">
        <v>359</v>
      </c>
      <c r="D34" s="13" t="n">
        <v>359</v>
      </c>
      <c r="E34" s="14">
        <f>IF(C34=0,"",D34/C34)</f>
        <v/>
      </c>
      <c r="F34" s="15">
        <f>C34-D34</f>
        <v/>
      </c>
    </row>
    <row r="35">
      <c r="A35" s="13" t="inlineStr">
        <is>
          <t>Patch</t>
        </is>
      </c>
      <c r="B35" s="13" t="inlineStr">
        <is>
          <t>COCKTAIL PATCH 150ML, PALOMA</t>
        </is>
      </c>
      <c r="C35" s="13" t="n">
        <v>359</v>
      </c>
      <c r="D35" s="13" t="n">
        <v>359</v>
      </c>
      <c r="E35" s="14">
        <f>IF(C35=0,"",D35/C35)</f>
        <v/>
      </c>
      <c r="F35" s="15">
        <f>C35-D35</f>
        <v/>
      </c>
    </row>
    <row r="36">
      <c r="A36" s="13" t="inlineStr">
        <is>
          <t>Patch</t>
        </is>
      </c>
      <c r="B36" s="13" t="inlineStr">
        <is>
          <t>COCKTAIL PATCH 150ML, MOJITO</t>
        </is>
      </c>
      <c r="C36" s="13" t="n">
        <v>359</v>
      </c>
      <c r="D36" s="13" t="n">
        <v>359</v>
      </c>
      <c r="E36" s="14">
        <f>IF(C36=0,"",D36/C36)</f>
        <v/>
      </c>
      <c r="F36" s="15">
        <f>C36-D36</f>
        <v/>
      </c>
    </row>
    <row r="37">
      <c r="A37" s="13" t="inlineStr">
        <is>
          <t>Patch</t>
        </is>
      </c>
      <c r="B37" s="13" t="inlineStr">
        <is>
          <t>COCKTAIL PATCH 150ML, ESPRES MARTINI</t>
        </is>
      </c>
      <c r="C37" s="13" t="n">
        <v>359</v>
      </c>
      <c r="D37" s="13" t="n">
        <v>359</v>
      </c>
      <c r="E37" s="14">
        <f>IF(C37=0,"",D37/C37)</f>
        <v/>
      </c>
      <c r="F37" s="15">
        <f>C37-D37</f>
        <v/>
      </c>
    </row>
    <row r="39">
      <c r="A39" s="19" t="inlineStr">
        <is>
          <t>Shaded rows are listed in Checkers and selling in no store at all.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6" customWidth="1" min="4" max="4"/>
    <col width="10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Data</t>
        </is>
      </c>
    </row>
    <row r="2">
      <c r="A2" s="2" t="inlineStr">
        <is>
          <t>One row per article and pack, straight from the exports. Blue cells come from the file.</t>
        </is>
      </c>
    </row>
    <row r="4" ht="28" customHeight="1">
      <c r="A4" s="5" t="inlineStr">
        <is>
          <t>Portfolio</t>
        </is>
      </c>
      <c r="B4" s="5" t="inlineStr">
        <is>
          <t>Article key</t>
        </is>
      </c>
      <c r="C4" s="5" t="inlineStr">
        <is>
          <t>Article</t>
        </is>
      </c>
      <c r="D4" s="5" t="inlineStr">
        <is>
          <t>Pack</t>
        </is>
      </c>
      <c r="E4" s="5" t="inlineStr">
        <is>
          <t>Pack size</t>
        </is>
      </c>
      <c r="F4" s="5" t="inlineStr">
        <is>
          <t>Sell price (incl)</t>
        </is>
      </c>
      <c r="G4" s="5" t="inlineStr">
        <is>
          <t>12.07.2026 units</t>
        </is>
      </c>
      <c r="H4" s="5" t="inlineStr">
        <is>
          <t>19.07.2026 units</t>
        </is>
      </c>
      <c r="I4" s="5" t="inlineStr">
        <is>
          <t>26.07.2026 units</t>
        </is>
      </c>
      <c r="J4" s="5" t="inlineStr">
        <is>
          <t>02.08.2026 units</t>
        </is>
      </c>
      <c r="K4" s="5" t="inlineStr">
        <is>
          <t>09.08.2026 units</t>
        </is>
      </c>
      <c r="L4" s="5" t="inlineStr">
        <is>
          <t>16.08.2026 units</t>
        </is>
      </c>
      <c r="M4" s="5" t="inlineStr">
        <is>
          <t>Eaches, latest week</t>
        </is>
      </c>
      <c r="N4" s="5" t="inlineStr">
        <is>
          <t>Sales (excl VAT)</t>
        </is>
      </c>
      <c r="O4" s="5" t="inlineStr">
        <is>
          <t>Stock qty</t>
        </is>
      </c>
    </row>
    <row r="5">
      <c r="A5" s="20" t="inlineStr">
        <is>
          <t>Core</t>
        </is>
      </c>
      <c r="B5" s="20" t="inlineStr">
        <is>
          <t>10755051</t>
        </is>
      </c>
      <c r="C5" s="20" t="inlineStr">
        <is>
          <t>BEER LAGER TRUEMAN 660ML NRB</t>
        </is>
      </c>
      <c r="D5" s="20" t="inlineStr">
        <is>
          <t>12X660ML NRB</t>
        </is>
      </c>
      <c r="E5" s="20" t="n">
        <v>12</v>
      </c>
      <c r="F5" s="21" t="n">
        <v>240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15">
        <f>L5*E5</f>
        <v/>
      </c>
      <c r="N5" s="21" t="n">
        <v>0</v>
      </c>
      <c r="O5" s="22" t="n">
        <v>0</v>
      </c>
    </row>
    <row r="6">
      <c r="A6" s="20" t="inlineStr">
        <is>
          <t>Core</t>
        </is>
      </c>
      <c r="B6" s="20" t="inlineStr">
        <is>
          <t>10755051</t>
        </is>
      </c>
      <c r="C6" s="20" t="inlineStr">
        <is>
          <t>BEER LAGER TRUEMAN 660ML NRB</t>
        </is>
      </c>
      <c r="D6" s="20" t="inlineStr">
        <is>
          <t>12X660ML NRB</t>
        </is>
      </c>
      <c r="E6" s="20" t="n">
        <v>12</v>
      </c>
      <c r="F6" s="21" t="n">
        <v>240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15">
        <f>L6*E6</f>
        <v/>
      </c>
      <c r="N6" s="21" t="n">
        <v>0</v>
      </c>
      <c r="O6" s="22" t="n">
        <v>0</v>
      </c>
    </row>
    <row r="7">
      <c r="A7" s="20" t="inlineStr">
        <is>
          <t>Core</t>
        </is>
      </c>
      <c r="B7" s="20" t="inlineStr">
        <is>
          <t>10755051</t>
        </is>
      </c>
      <c r="C7" s="20" t="inlineStr">
        <is>
          <t>BEER LAGER TRUEMAN 660ML NRB</t>
        </is>
      </c>
      <c r="D7" s="20" t="inlineStr">
        <is>
          <t>660ML NRB</t>
        </is>
      </c>
      <c r="E7" s="20" t="n">
        <v>1</v>
      </c>
      <c r="F7" s="21" t="n">
        <v>20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15">
        <f>L7*E7</f>
        <v/>
      </c>
      <c r="N7" s="21" t="n">
        <v>0</v>
      </c>
      <c r="O7" s="22" t="n">
        <v>19</v>
      </c>
    </row>
    <row r="8">
      <c r="A8" s="20" t="inlineStr">
        <is>
          <t>Core</t>
        </is>
      </c>
      <c r="B8" s="20" t="inlineStr">
        <is>
          <t>10755051</t>
        </is>
      </c>
      <c r="C8" s="20" t="inlineStr">
        <is>
          <t>BEER LAGER TRUEMAN 660ML NRB</t>
        </is>
      </c>
      <c r="D8" s="20" t="inlineStr">
        <is>
          <t>660ML NRB</t>
        </is>
      </c>
      <c r="E8" s="20" t="n">
        <v>1</v>
      </c>
      <c r="F8" s="21" t="n">
        <v>20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15">
        <f>L8*E8</f>
        <v/>
      </c>
      <c r="N8" s="21" t="n">
        <v>0</v>
      </c>
      <c r="O8" s="22" t="n">
        <v>0</v>
      </c>
    </row>
    <row r="9">
      <c r="A9" s="20" t="inlineStr">
        <is>
          <t>Core</t>
        </is>
      </c>
      <c r="B9" s="20" t="inlineStr">
        <is>
          <t>10969386</t>
        </is>
      </c>
      <c r="C9" s="20" t="inlineStr">
        <is>
          <t>BEER MILK STOUT CBC 340ML NRB</t>
        </is>
      </c>
      <c r="D9" s="20" t="inlineStr">
        <is>
          <t>24X340ML NRB</t>
        </is>
      </c>
      <c r="E9" s="20" t="n">
        <v>24</v>
      </c>
      <c r="F9" s="21" t="n">
        <v>379.99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15">
        <f>L9*E9</f>
        <v/>
      </c>
      <c r="N9" s="21" t="n">
        <v>0</v>
      </c>
      <c r="O9" s="22" t="n">
        <v>0</v>
      </c>
    </row>
    <row r="10">
      <c r="A10" s="20" t="inlineStr">
        <is>
          <t>Core</t>
        </is>
      </c>
      <c r="B10" s="20" t="inlineStr">
        <is>
          <t>10969386</t>
        </is>
      </c>
      <c r="C10" s="20" t="inlineStr">
        <is>
          <t>BEER MILK STOUT CBC 340ML NRB</t>
        </is>
      </c>
      <c r="D10" s="20" t="inlineStr">
        <is>
          <t>340ML NRB</t>
        </is>
      </c>
      <c r="E10" s="20" t="n">
        <v>1</v>
      </c>
      <c r="F10" s="21" t="n">
        <v>19.99</v>
      </c>
      <c r="G10" s="22" t="n">
        <v>0</v>
      </c>
      <c r="H10" s="22" t="n">
        <v>0</v>
      </c>
      <c r="I10" s="22" t="n">
        <v>0</v>
      </c>
      <c r="J10" s="22" t="n">
        <v>1</v>
      </c>
      <c r="K10" s="22" t="n">
        <v>18</v>
      </c>
      <c r="L10" s="22" t="n">
        <v>44</v>
      </c>
      <c r="M10" s="15">
        <f>L10*E10</f>
        <v/>
      </c>
      <c r="N10" s="21" t="n">
        <v>764.79</v>
      </c>
      <c r="O10" s="22" t="n">
        <v>7674</v>
      </c>
    </row>
    <row r="11">
      <c r="A11" s="20" t="inlineStr">
        <is>
          <t>Core</t>
        </is>
      </c>
      <c r="B11" s="20" t="inlineStr">
        <is>
          <t>10969386</t>
        </is>
      </c>
      <c r="C11" s="20" t="inlineStr">
        <is>
          <t>BEER MILK STOUT CBC 340ML NRB</t>
        </is>
      </c>
      <c r="D11" s="20" t="inlineStr">
        <is>
          <t>6X340ML NRB</t>
        </is>
      </c>
      <c r="E11" s="20" t="n">
        <v>6</v>
      </c>
      <c r="F11" s="21" t="n">
        <v>109.99</v>
      </c>
      <c r="G11" s="22" t="n">
        <v>0</v>
      </c>
      <c r="H11" s="22" t="n">
        <v>0</v>
      </c>
      <c r="I11" s="22" t="n">
        <v>0</v>
      </c>
      <c r="J11" s="22" t="n">
        <v>2</v>
      </c>
      <c r="K11" s="22" t="n">
        <v>13</v>
      </c>
      <c r="L11" s="22" t="n">
        <v>25</v>
      </c>
      <c r="M11" s="15">
        <f>L11*E11</f>
        <v/>
      </c>
      <c r="N11" s="21" t="n">
        <v>2391</v>
      </c>
      <c r="O11" s="22" t="n">
        <v>0</v>
      </c>
    </row>
    <row r="12">
      <c r="A12" s="20" t="inlineStr">
        <is>
          <t>Core</t>
        </is>
      </c>
      <c r="B12" s="20" t="inlineStr">
        <is>
          <t>10711455</t>
        </is>
      </c>
      <c r="C12" s="20" t="inlineStr">
        <is>
          <t>BEER LAGER LITE CBC 340ML NRB</t>
        </is>
      </c>
      <c r="D12" s="20" t="inlineStr">
        <is>
          <t>24X340ML NRB</t>
        </is>
      </c>
      <c r="E12" s="20" t="n">
        <v>24</v>
      </c>
      <c r="F12" s="21" t="n">
        <v>359.99</v>
      </c>
      <c r="G12" s="22" t="n">
        <v>4</v>
      </c>
      <c r="H12" s="22" t="n">
        <v>1</v>
      </c>
      <c r="I12" s="22" t="n">
        <v>1</v>
      </c>
      <c r="J12" s="22" t="n">
        <v>1</v>
      </c>
      <c r="K12" s="22" t="n">
        <v>5</v>
      </c>
      <c r="L12" s="22" t="n">
        <v>2</v>
      </c>
      <c r="M12" s="15">
        <f>L12*E12</f>
        <v/>
      </c>
      <c r="N12" s="21" t="n">
        <v>626.0599999999999</v>
      </c>
      <c r="O12" s="22" t="n">
        <v>0</v>
      </c>
    </row>
    <row r="13">
      <c r="A13" s="20" t="inlineStr">
        <is>
          <t>Core</t>
        </is>
      </c>
      <c r="B13" s="20" t="inlineStr">
        <is>
          <t>10711455</t>
        </is>
      </c>
      <c r="C13" s="20" t="inlineStr">
        <is>
          <t>BEER LAGER LITE CBC 340ML NRB</t>
        </is>
      </c>
      <c r="D13" s="20" t="inlineStr">
        <is>
          <t>340ML NRB</t>
        </is>
      </c>
      <c r="E13" s="20" t="n">
        <v>1</v>
      </c>
      <c r="F13" s="21" t="n">
        <v>18.99</v>
      </c>
      <c r="G13" s="22" t="n">
        <v>14</v>
      </c>
      <c r="H13" s="22" t="n">
        <v>23</v>
      </c>
      <c r="I13" s="22" t="n">
        <v>15</v>
      </c>
      <c r="J13" s="22" t="n">
        <v>18</v>
      </c>
      <c r="K13" s="22" t="n">
        <v>17</v>
      </c>
      <c r="L13" s="22" t="n">
        <v>23</v>
      </c>
      <c r="M13" s="15">
        <f>L13*E13</f>
        <v/>
      </c>
      <c r="N13" s="21" t="n">
        <v>379.74</v>
      </c>
      <c r="O13" s="22" t="n">
        <v>9841</v>
      </c>
    </row>
    <row r="14">
      <c r="A14" s="20" t="inlineStr">
        <is>
          <t>Core</t>
        </is>
      </c>
      <c r="B14" s="20" t="inlineStr">
        <is>
          <t>10711455</t>
        </is>
      </c>
      <c r="C14" s="20" t="inlineStr">
        <is>
          <t>BEER LAGER LITE CBC 340ML NRB</t>
        </is>
      </c>
      <c r="D14" s="20" t="inlineStr">
        <is>
          <t>6X340ML NRB</t>
        </is>
      </c>
      <c r="E14" s="20" t="n">
        <v>6</v>
      </c>
      <c r="F14" s="21" t="n">
        <v>99.98999999999999</v>
      </c>
      <c r="G14" s="22" t="n">
        <v>161</v>
      </c>
      <c r="H14" s="22" t="n">
        <v>175</v>
      </c>
      <c r="I14" s="22" t="n">
        <v>132</v>
      </c>
      <c r="J14" s="22" t="n">
        <v>180</v>
      </c>
      <c r="K14" s="22" t="n">
        <v>184</v>
      </c>
      <c r="L14" s="22" t="n">
        <v>139</v>
      </c>
      <c r="M14" s="15">
        <f>L14*E14</f>
        <v/>
      </c>
      <c r="N14" s="21" t="n">
        <v>10955.08</v>
      </c>
      <c r="O14" s="22" t="n">
        <v>0</v>
      </c>
    </row>
    <row r="15">
      <c r="A15" s="20" t="inlineStr">
        <is>
          <t>Core</t>
        </is>
      </c>
      <c r="B15" s="20" t="inlineStr">
        <is>
          <t>10483607</t>
        </is>
      </c>
      <c r="C15" s="20" t="inlineStr">
        <is>
          <t>BEER AMBER WEISS CBC 440ML NRB</t>
        </is>
      </c>
      <c r="D15" s="20" t="inlineStr">
        <is>
          <t>24X440ML NRB</t>
        </is>
      </c>
      <c r="E15" s="20" t="n">
        <v>24</v>
      </c>
      <c r="F15" s="21" t="n">
        <v>609.99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15">
        <f>L15*E15</f>
        <v/>
      </c>
      <c r="N15" s="21" t="n">
        <v>0</v>
      </c>
      <c r="O15" s="22" t="n">
        <v>0</v>
      </c>
    </row>
    <row r="16">
      <c r="A16" s="20" t="inlineStr">
        <is>
          <t>Core</t>
        </is>
      </c>
      <c r="B16" s="20" t="inlineStr">
        <is>
          <t>10483607</t>
        </is>
      </c>
      <c r="C16" s="20" t="inlineStr">
        <is>
          <t>BEER AMBER WEISS CBC 440ML NRB</t>
        </is>
      </c>
      <c r="D16" s="20" t="inlineStr">
        <is>
          <t>24X440ML NRB</t>
        </is>
      </c>
      <c r="E16" s="20" t="n">
        <v>24</v>
      </c>
      <c r="F16" s="21" t="n">
        <v>609.99</v>
      </c>
      <c r="G16" s="22" t="n">
        <v>0</v>
      </c>
      <c r="H16" s="22" t="n">
        <v>1</v>
      </c>
      <c r="I16" s="22" t="n">
        <v>0</v>
      </c>
      <c r="J16" s="22" t="n">
        <v>1</v>
      </c>
      <c r="K16" s="22" t="n">
        <v>0</v>
      </c>
      <c r="L16" s="22" t="n">
        <v>0</v>
      </c>
      <c r="M16" s="15">
        <f>L16*E16</f>
        <v/>
      </c>
      <c r="N16" s="21" t="n">
        <v>0</v>
      </c>
      <c r="O16" s="22" t="n">
        <v>0</v>
      </c>
    </row>
    <row r="17">
      <c r="A17" s="20" t="inlineStr">
        <is>
          <t>Core</t>
        </is>
      </c>
      <c r="B17" s="20" t="inlineStr">
        <is>
          <t>10483607</t>
        </is>
      </c>
      <c r="C17" s="20" t="inlineStr">
        <is>
          <t>BEER AMBER WEISS CBC 440ML NRB</t>
        </is>
      </c>
      <c r="D17" s="20" t="inlineStr">
        <is>
          <t>440ML NRB</t>
        </is>
      </c>
      <c r="E17" s="20" t="n">
        <v>1</v>
      </c>
      <c r="F17" s="21" t="n">
        <v>34.99</v>
      </c>
      <c r="G17" s="22" t="n">
        <v>8</v>
      </c>
      <c r="H17" s="22" t="n">
        <v>8</v>
      </c>
      <c r="I17" s="22" t="n">
        <v>7</v>
      </c>
      <c r="J17" s="22" t="n">
        <v>4</v>
      </c>
      <c r="K17" s="22" t="n">
        <v>1</v>
      </c>
      <c r="L17" s="22" t="n">
        <v>1</v>
      </c>
      <c r="M17" s="15">
        <f>L17*E17</f>
        <v/>
      </c>
      <c r="N17" s="21" t="n">
        <v>30.43</v>
      </c>
      <c r="O17" s="22" t="n">
        <v>1121</v>
      </c>
    </row>
    <row r="18">
      <c r="A18" s="20" t="inlineStr">
        <is>
          <t>Core</t>
        </is>
      </c>
      <c r="B18" s="20" t="inlineStr">
        <is>
          <t>10483607</t>
        </is>
      </c>
      <c r="C18" s="20" t="inlineStr">
        <is>
          <t>BEER AMBER WEISS CBC 440ML NRB</t>
        </is>
      </c>
      <c r="D18" s="20" t="inlineStr">
        <is>
          <t>440ML NRB</t>
        </is>
      </c>
      <c r="E18" s="20" t="n">
        <v>1</v>
      </c>
      <c r="F18" s="21" t="n">
        <v>34.99</v>
      </c>
      <c r="G18" s="22" t="n">
        <v>58</v>
      </c>
      <c r="H18" s="22" t="n">
        <v>61</v>
      </c>
      <c r="I18" s="22" t="n">
        <v>52</v>
      </c>
      <c r="J18" s="22" t="n">
        <v>37</v>
      </c>
      <c r="K18" s="22" t="n">
        <v>45</v>
      </c>
      <c r="L18" s="22" t="n">
        <v>47</v>
      </c>
      <c r="M18" s="15">
        <f>L18*E18</f>
        <v/>
      </c>
      <c r="N18" s="21" t="n">
        <v>1425.79</v>
      </c>
      <c r="O18" s="22" t="n">
        <v>8055</v>
      </c>
    </row>
    <row r="19">
      <c r="A19" s="20" t="inlineStr">
        <is>
          <t>Core</t>
        </is>
      </c>
      <c r="B19" s="20" t="inlineStr">
        <is>
          <t>10483607</t>
        </is>
      </c>
      <c r="C19" s="20" t="inlineStr">
        <is>
          <t>BEER AMBER WEISS CBC 440ML NRB</t>
        </is>
      </c>
      <c r="D19" s="20" t="inlineStr">
        <is>
          <t>4X440ML NRB</t>
        </is>
      </c>
      <c r="E19" s="20" t="n">
        <v>4</v>
      </c>
      <c r="F19" s="21" t="n">
        <v>119.99</v>
      </c>
      <c r="G19" s="22" t="n">
        <v>14</v>
      </c>
      <c r="H19" s="22" t="n">
        <v>12</v>
      </c>
      <c r="I19" s="22" t="n">
        <v>9</v>
      </c>
      <c r="J19" s="22" t="n">
        <v>13</v>
      </c>
      <c r="K19" s="22" t="n">
        <v>11</v>
      </c>
      <c r="L19" s="22" t="n">
        <v>36</v>
      </c>
      <c r="M19" s="15">
        <f>L19*E19</f>
        <v/>
      </c>
      <c r="N19" s="21" t="n">
        <v>2721.48</v>
      </c>
      <c r="O19" s="22" t="n">
        <v>0</v>
      </c>
    </row>
    <row r="20">
      <c r="A20" s="20" t="inlineStr">
        <is>
          <t>Core</t>
        </is>
      </c>
      <c r="B20" s="20" t="inlineStr">
        <is>
          <t>10483607</t>
        </is>
      </c>
      <c r="C20" s="20" t="inlineStr">
        <is>
          <t>BEER AMBER WEISS CBC 440ML NRB</t>
        </is>
      </c>
      <c r="D20" s="20" t="inlineStr">
        <is>
          <t>4X440ML NRB</t>
        </is>
      </c>
      <c r="E20" s="20" t="n">
        <v>4</v>
      </c>
      <c r="F20" s="21" t="n">
        <v>119.99</v>
      </c>
      <c r="G20" s="22" t="n">
        <v>155</v>
      </c>
      <c r="H20" s="22" t="n">
        <v>140</v>
      </c>
      <c r="I20" s="22" t="n">
        <v>156</v>
      </c>
      <c r="J20" s="22" t="n">
        <v>171</v>
      </c>
      <c r="K20" s="22" t="n">
        <v>174</v>
      </c>
      <c r="L20" s="22" t="n">
        <v>134</v>
      </c>
      <c r="M20" s="15">
        <f>L20*E20</f>
        <v/>
      </c>
      <c r="N20" s="21" t="n">
        <v>13981.56</v>
      </c>
      <c r="O20" s="22" t="n">
        <v>0</v>
      </c>
    </row>
    <row r="21">
      <c r="A21" s="20" t="inlineStr">
        <is>
          <t>Core</t>
        </is>
      </c>
      <c r="B21" s="20" t="inlineStr">
        <is>
          <t>10483608</t>
        </is>
      </c>
      <c r="C21" s="20" t="inlineStr">
        <is>
          <t>BEER PILSNER CBC 440ML NRB</t>
        </is>
      </c>
      <c r="D21" s="20" t="inlineStr">
        <is>
          <t>24X440ML NRB</t>
        </is>
      </c>
      <c r="E21" s="20" t="n">
        <v>24</v>
      </c>
      <c r="F21" s="21" t="n">
        <v>529.99</v>
      </c>
      <c r="G21" s="22" t="n">
        <v>0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0</v>
      </c>
      <c r="M21" s="15">
        <f>L21*E21</f>
        <v/>
      </c>
      <c r="N21" s="21" t="n">
        <v>0</v>
      </c>
      <c r="O21" s="22" t="n">
        <v>0</v>
      </c>
    </row>
    <row r="22">
      <c r="A22" s="20" t="inlineStr">
        <is>
          <t>Core</t>
        </is>
      </c>
      <c r="B22" s="20" t="inlineStr">
        <is>
          <t>10483608</t>
        </is>
      </c>
      <c r="C22" s="20" t="inlineStr">
        <is>
          <t>BEER PILSNER CBC 440ML NRB</t>
        </is>
      </c>
      <c r="D22" s="20" t="inlineStr">
        <is>
          <t>440ML NRB</t>
        </is>
      </c>
      <c r="E22" s="20" t="n">
        <v>1</v>
      </c>
      <c r="F22" s="21" t="n">
        <v>24.99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15">
        <f>L22*E22</f>
        <v/>
      </c>
      <c r="N22" s="21" t="n">
        <v>0</v>
      </c>
      <c r="O22" s="22" t="n">
        <v>0</v>
      </c>
    </row>
    <row r="23">
      <c r="A23" s="20" t="inlineStr">
        <is>
          <t>Core</t>
        </is>
      </c>
      <c r="B23" s="20" t="inlineStr">
        <is>
          <t>10483608</t>
        </is>
      </c>
      <c r="C23" s="20" t="inlineStr">
        <is>
          <t>BEER PILSNER CBC 440ML NRB</t>
        </is>
      </c>
      <c r="D23" s="20" t="inlineStr">
        <is>
          <t>4X440ML NRB</t>
        </is>
      </c>
      <c r="E23" s="20" t="n">
        <v>4</v>
      </c>
      <c r="F23" s="21" t="n">
        <v>109.99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15">
        <f>L23*E23</f>
        <v/>
      </c>
      <c r="N23" s="21" t="n">
        <v>0</v>
      </c>
      <c r="O23" s="22" t="n">
        <v>0</v>
      </c>
    </row>
    <row r="24">
      <c r="A24" s="20" t="inlineStr">
        <is>
          <t>Core</t>
        </is>
      </c>
      <c r="B24" s="20" t="inlineStr">
        <is>
          <t>10521085</t>
        </is>
      </c>
      <c r="C24" s="20" t="inlineStr">
        <is>
          <t>BEER ALE PALE CBC 330ML CAN</t>
        </is>
      </c>
      <c r="D24" s="20" t="inlineStr">
        <is>
          <t>24X330ML CAN</t>
        </is>
      </c>
      <c r="E24" s="20" t="n">
        <v>24</v>
      </c>
      <c r="F24" s="21" t="n">
        <v>230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15">
        <f>L24*E24</f>
        <v/>
      </c>
      <c r="N24" s="21" t="n">
        <v>0</v>
      </c>
      <c r="O24" s="22" t="n">
        <v>0</v>
      </c>
    </row>
    <row r="25">
      <c r="A25" s="20" t="inlineStr">
        <is>
          <t>Core</t>
        </is>
      </c>
      <c r="B25" s="20" t="inlineStr">
        <is>
          <t>10521085</t>
        </is>
      </c>
      <c r="C25" s="20" t="inlineStr">
        <is>
          <t>BEER ALE PALE CBC 330ML CAN</t>
        </is>
      </c>
      <c r="D25" s="20" t="inlineStr">
        <is>
          <t>330ML CAN</t>
        </is>
      </c>
      <c r="E25" s="20" t="n">
        <v>1</v>
      </c>
      <c r="F25" s="21" t="n">
        <v>12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15">
        <f>L25*E25</f>
        <v/>
      </c>
      <c r="N25" s="21" t="n">
        <v>0</v>
      </c>
      <c r="O25" s="22" t="n">
        <v>0</v>
      </c>
    </row>
    <row r="26">
      <c r="A26" s="20" t="inlineStr">
        <is>
          <t>Core</t>
        </is>
      </c>
      <c r="B26" s="20" t="inlineStr">
        <is>
          <t>10521085</t>
        </is>
      </c>
      <c r="C26" s="20" t="inlineStr">
        <is>
          <t>BEER ALE PALE CBC 330ML CAN</t>
        </is>
      </c>
      <c r="D26" s="20" t="inlineStr">
        <is>
          <t>4X330ML CAN</t>
        </is>
      </c>
      <c r="E26" s="20" t="n">
        <v>4</v>
      </c>
      <c r="F26" s="21" t="n">
        <v>40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15">
        <f>L26*E26</f>
        <v/>
      </c>
      <c r="N26" s="21" t="n">
        <v>0</v>
      </c>
      <c r="O26" s="22" t="n">
        <v>0</v>
      </c>
    </row>
    <row r="27">
      <c r="A27" s="20" t="inlineStr">
        <is>
          <t>Core</t>
        </is>
      </c>
      <c r="B27" s="20" t="inlineStr">
        <is>
          <t>10532818</t>
        </is>
      </c>
      <c r="C27" s="20" t="inlineStr">
        <is>
          <t>BEER KRYSTEL WEISS CBC 340ML BOT</t>
        </is>
      </c>
      <c r="D27" s="20" t="inlineStr">
        <is>
          <t>24X340ML BOT</t>
        </is>
      </c>
      <c r="E27" s="20" t="n">
        <v>24</v>
      </c>
      <c r="F27" s="21" t="n">
        <v>409.99</v>
      </c>
      <c r="G27" s="22" t="n">
        <v>0</v>
      </c>
      <c r="H27" s="22" t="n">
        <v>1</v>
      </c>
      <c r="I27" s="22" t="n">
        <v>0</v>
      </c>
      <c r="J27" s="22" t="n">
        <v>0</v>
      </c>
      <c r="K27" s="22" t="n">
        <v>0</v>
      </c>
      <c r="L27" s="22" t="n">
        <v>1</v>
      </c>
      <c r="M27" s="15">
        <f>L27*E27</f>
        <v/>
      </c>
      <c r="N27" s="21" t="n">
        <v>356.51</v>
      </c>
      <c r="O27" s="22" t="n">
        <v>0</v>
      </c>
    </row>
    <row r="28">
      <c r="A28" s="20" t="inlineStr">
        <is>
          <t>Core</t>
        </is>
      </c>
      <c r="B28" s="20" t="inlineStr">
        <is>
          <t>10532818</t>
        </is>
      </c>
      <c r="C28" s="20" t="inlineStr">
        <is>
          <t>BEER KRYSTEL WEISS CBC 340ML BOT</t>
        </is>
      </c>
      <c r="D28" s="20" t="inlineStr">
        <is>
          <t>340ML BOT</t>
        </is>
      </c>
      <c r="E28" s="20" t="n">
        <v>1</v>
      </c>
      <c r="F28" s="21" t="n">
        <v>19</v>
      </c>
      <c r="G28" s="22" t="n">
        <v>12</v>
      </c>
      <c r="H28" s="22" t="n">
        <v>37</v>
      </c>
      <c r="I28" s="22" t="n">
        <v>24</v>
      </c>
      <c r="J28" s="22" t="n">
        <v>14</v>
      </c>
      <c r="K28" s="22" t="n">
        <v>29</v>
      </c>
      <c r="L28" s="22" t="n">
        <v>15</v>
      </c>
      <c r="M28" s="15">
        <f>L28*E28</f>
        <v/>
      </c>
      <c r="N28" s="21" t="n">
        <v>296.38</v>
      </c>
      <c r="O28" s="22" t="n">
        <v>7092</v>
      </c>
    </row>
    <row r="29">
      <c r="A29" s="20" t="inlineStr">
        <is>
          <t>Core</t>
        </is>
      </c>
      <c r="B29" s="20" t="inlineStr">
        <is>
          <t>10532818</t>
        </is>
      </c>
      <c r="C29" s="20" t="inlineStr">
        <is>
          <t>BEER KRYSTEL WEISS CBC 340ML BOT</t>
        </is>
      </c>
      <c r="D29" s="20" t="inlineStr">
        <is>
          <t>6X340ML BOT</t>
        </is>
      </c>
      <c r="E29" s="20" t="n">
        <v>6</v>
      </c>
      <c r="F29" s="21" t="n">
        <v>110</v>
      </c>
      <c r="G29" s="22" t="n">
        <v>56</v>
      </c>
      <c r="H29" s="22" t="n">
        <v>60</v>
      </c>
      <c r="I29" s="22" t="n">
        <v>72</v>
      </c>
      <c r="J29" s="22" t="n">
        <v>57</v>
      </c>
      <c r="K29" s="22" t="n">
        <v>79</v>
      </c>
      <c r="L29" s="22" t="n">
        <v>62</v>
      </c>
      <c r="M29" s="15">
        <f>L29*E29</f>
        <v/>
      </c>
      <c r="N29" s="21" t="n">
        <v>6451.7</v>
      </c>
      <c r="O29" s="22" t="n">
        <v>0</v>
      </c>
    </row>
    <row r="30">
      <c r="A30" s="20" t="inlineStr">
        <is>
          <t>Core</t>
        </is>
      </c>
      <c r="B30" s="20" t="inlineStr">
        <is>
          <t>10532819</t>
        </is>
      </c>
      <c r="C30" s="20" t="inlineStr">
        <is>
          <t>BEER LAGER CBC 340ML BOT</t>
        </is>
      </c>
      <c r="D30" s="20" t="inlineStr">
        <is>
          <t>24X340ML BOT</t>
        </is>
      </c>
      <c r="E30" s="20" t="n">
        <v>24</v>
      </c>
      <c r="F30" s="21" t="n">
        <v>349.99</v>
      </c>
      <c r="G30" s="22" t="n">
        <v>3</v>
      </c>
      <c r="H30" s="22" t="n">
        <v>4</v>
      </c>
      <c r="I30" s="22" t="n">
        <v>2</v>
      </c>
      <c r="J30" s="22" t="n">
        <v>0</v>
      </c>
      <c r="K30" s="22" t="n">
        <v>5</v>
      </c>
      <c r="L30" s="22" t="n">
        <v>2</v>
      </c>
      <c r="M30" s="15">
        <f>L30*E30</f>
        <v/>
      </c>
      <c r="N30" s="21" t="n">
        <v>626.0599999999999</v>
      </c>
      <c r="O30" s="22" t="n">
        <v>0</v>
      </c>
    </row>
    <row r="31">
      <c r="A31" s="20" t="inlineStr">
        <is>
          <t>Core</t>
        </is>
      </c>
      <c r="B31" s="20" t="inlineStr">
        <is>
          <t>10532819</t>
        </is>
      </c>
      <c r="C31" s="20" t="inlineStr">
        <is>
          <t>BEER LAGER CBC 340ML BOT</t>
        </is>
      </c>
      <c r="D31" s="20" t="inlineStr">
        <is>
          <t>340ML BOT</t>
        </is>
      </c>
      <c r="E31" s="20" t="n">
        <v>1</v>
      </c>
      <c r="F31" s="21" t="n">
        <v>18.99</v>
      </c>
      <c r="G31" s="22" t="n">
        <v>42</v>
      </c>
      <c r="H31" s="22" t="n">
        <v>29</v>
      </c>
      <c r="I31" s="22" t="n">
        <v>24</v>
      </c>
      <c r="J31" s="22" t="n">
        <v>30</v>
      </c>
      <c r="K31" s="22" t="n">
        <v>36</v>
      </c>
      <c r="L31" s="22" t="n">
        <v>32</v>
      </c>
      <c r="M31" s="15">
        <f>L31*E31</f>
        <v/>
      </c>
      <c r="N31" s="21" t="n">
        <v>528.35</v>
      </c>
      <c r="O31" s="22" t="n">
        <v>9436</v>
      </c>
    </row>
    <row r="32">
      <c r="A32" s="20" t="inlineStr">
        <is>
          <t>Core</t>
        </is>
      </c>
      <c r="B32" s="20" t="inlineStr">
        <is>
          <t>10532819</t>
        </is>
      </c>
      <c r="C32" s="20" t="inlineStr">
        <is>
          <t>BEER LAGER CBC 340ML BOT</t>
        </is>
      </c>
      <c r="D32" s="20" t="inlineStr">
        <is>
          <t>6X340ML BOT</t>
        </is>
      </c>
      <c r="E32" s="20" t="n">
        <v>6</v>
      </c>
      <c r="F32" s="21" t="n">
        <v>99.98999999999999</v>
      </c>
      <c r="G32" s="22" t="n">
        <v>288</v>
      </c>
      <c r="H32" s="22" t="n">
        <v>256</v>
      </c>
      <c r="I32" s="22" t="n">
        <v>270</v>
      </c>
      <c r="J32" s="22" t="n">
        <v>250</v>
      </c>
      <c r="K32" s="22" t="n">
        <v>269</v>
      </c>
      <c r="L32" s="22" t="n">
        <v>200</v>
      </c>
      <c r="M32" s="15">
        <f>L32*E32</f>
        <v/>
      </c>
      <c r="N32" s="21" t="n">
        <v>15763.17</v>
      </c>
      <c r="O32" s="22" t="n">
        <v>0</v>
      </c>
    </row>
    <row r="33">
      <c r="A33" s="20" t="inlineStr">
        <is>
          <t>Core</t>
        </is>
      </c>
      <c r="B33" s="20" t="inlineStr">
        <is>
          <t>10697191</t>
        </is>
      </c>
      <c r="C33" s="20" t="inlineStr">
        <is>
          <t>BEER PILSNER CBC 340ML NRB</t>
        </is>
      </c>
      <c r="D33" s="20" t="inlineStr">
        <is>
          <t>24X340ML NRB</t>
        </is>
      </c>
      <c r="E33" s="20" t="n">
        <v>24</v>
      </c>
      <c r="F33" s="21" t="n">
        <v>375</v>
      </c>
      <c r="G33" s="22" t="n">
        <v>1</v>
      </c>
      <c r="H33" s="22" t="n">
        <v>1</v>
      </c>
      <c r="I33" s="22" t="n">
        <v>0</v>
      </c>
      <c r="J33" s="22" t="n">
        <v>0</v>
      </c>
      <c r="K33" s="22" t="n">
        <v>2</v>
      </c>
      <c r="L33" s="22" t="n">
        <v>0</v>
      </c>
      <c r="M33" s="15">
        <f>L33*E33</f>
        <v/>
      </c>
      <c r="N33" s="21" t="n">
        <v>0</v>
      </c>
      <c r="O33" s="22" t="n">
        <v>0</v>
      </c>
    </row>
    <row r="34">
      <c r="A34" s="20" t="inlineStr">
        <is>
          <t>Core</t>
        </is>
      </c>
      <c r="B34" s="20" t="inlineStr">
        <is>
          <t>10697191</t>
        </is>
      </c>
      <c r="C34" s="20" t="inlineStr">
        <is>
          <t>BEER PILSNER CBC 340ML NRB</t>
        </is>
      </c>
      <c r="D34" s="20" t="inlineStr">
        <is>
          <t>340ML NRB</t>
        </is>
      </c>
      <c r="E34" s="20" t="n">
        <v>1</v>
      </c>
      <c r="F34" s="21" t="n">
        <v>16</v>
      </c>
      <c r="G34" s="22" t="n">
        <v>13</v>
      </c>
      <c r="H34" s="22" t="n">
        <v>45</v>
      </c>
      <c r="I34" s="22" t="n">
        <v>12</v>
      </c>
      <c r="J34" s="22" t="n">
        <v>15</v>
      </c>
      <c r="K34" s="22" t="n">
        <v>14</v>
      </c>
      <c r="L34" s="22" t="n">
        <v>17</v>
      </c>
      <c r="M34" s="15">
        <f>L34*E34</f>
        <v/>
      </c>
      <c r="N34" s="21" t="n">
        <v>275.53</v>
      </c>
      <c r="O34" s="22" t="n">
        <v>6801</v>
      </c>
    </row>
    <row r="35">
      <c r="A35" s="20" t="inlineStr">
        <is>
          <t>Core</t>
        </is>
      </c>
      <c r="B35" s="20" t="inlineStr">
        <is>
          <t>10697191</t>
        </is>
      </c>
      <c r="C35" s="20" t="inlineStr">
        <is>
          <t>BEER PILSNER CBC 340ML NRB</t>
        </is>
      </c>
      <c r="D35" s="20" t="inlineStr">
        <is>
          <t>6X340ML NRB</t>
        </is>
      </c>
      <c r="E35" s="20" t="n">
        <v>6</v>
      </c>
      <c r="F35" s="21" t="n">
        <v>95</v>
      </c>
      <c r="G35" s="22" t="n">
        <v>69</v>
      </c>
      <c r="H35" s="22" t="n">
        <v>54</v>
      </c>
      <c r="I35" s="22" t="n">
        <v>48</v>
      </c>
      <c r="J35" s="22" t="n">
        <v>68</v>
      </c>
      <c r="K35" s="22" t="n">
        <v>78</v>
      </c>
      <c r="L35" s="22" t="n">
        <v>51</v>
      </c>
      <c r="M35" s="15">
        <f>L35*E35</f>
        <v/>
      </c>
      <c r="N35" s="21" t="n">
        <v>4838.58</v>
      </c>
      <c r="O35" s="22" t="n">
        <v>0</v>
      </c>
    </row>
    <row r="36">
      <c r="A36" s="20" t="inlineStr">
        <is>
          <t>Core</t>
        </is>
      </c>
      <c r="B36" s="20" t="inlineStr">
        <is>
          <t>10810779</t>
        </is>
      </c>
      <c r="C36" s="20" t="inlineStr">
        <is>
          <t>BEER ALE PALE CBC 340ML NRB</t>
        </is>
      </c>
      <c r="D36" s="20" t="inlineStr">
        <is>
          <t>24X340ML NRB</t>
        </is>
      </c>
      <c r="E36" s="20" t="n">
        <v>24</v>
      </c>
      <c r="F36" s="21" t="n">
        <v>399.99</v>
      </c>
      <c r="G36" s="22" t="n">
        <v>0</v>
      </c>
      <c r="H36" s="22" t="n">
        <v>0</v>
      </c>
      <c r="I36" s="22" t="n">
        <v>4</v>
      </c>
      <c r="J36" s="22" t="n">
        <v>3</v>
      </c>
      <c r="K36" s="22" t="n">
        <v>0</v>
      </c>
      <c r="L36" s="22" t="n">
        <v>2</v>
      </c>
      <c r="M36" s="15">
        <f>L36*E36</f>
        <v/>
      </c>
      <c r="N36" s="21" t="n">
        <v>695.64</v>
      </c>
      <c r="O36" s="22" t="n">
        <v>0</v>
      </c>
    </row>
    <row r="37">
      <c r="A37" s="20" t="inlineStr">
        <is>
          <t>Core</t>
        </is>
      </c>
      <c r="B37" s="20" t="inlineStr">
        <is>
          <t>10810779</t>
        </is>
      </c>
      <c r="C37" s="20" t="inlineStr">
        <is>
          <t>BEER ALE PALE CBC 340ML NRB</t>
        </is>
      </c>
      <c r="D37" s="20" t="inlineStr">
        <is>
          <t>340ML NRB</t>
        </is>
      </c>
      <c r="E37" s="20" t="n">
        <v>1</v>
      </c>
      <c r="F37" s="21" t="n">
        <v>21.99</v>
      </c>
      <c r="G37" s="22" t="n">
        <v>19</v>
      </c>
      <c r="H37" s="22" t="n">
        <v>22</v>
      </c>
      <c r="I37" s="22" t="n">
        <v>19</v>
      </c>
      <c r="J37" s="22" t="n">
        <v>12</v>
      </c>
      <c r="K37" s="22" t="n">
        <v>19</v>
      </c>
      <c r="L37" s="22" t="n">
        <v>34</v>
      </c>
      <c r="M37" s="15">
        <f>L37*E37</f>
        <v/>
      </c>
      <c r="N37" s="21" t="n">
        <v>650.1</v>
      </c>
      <c r="O37" s="22" t="n">
        <v>5580</v>
      </c>
    </row>
    <row r="38">
      <c r="A38" s="20" t="inlineStr">
        <is>
          <t>Core</t>
        </is>
      </c>
      <c r="B38" s="20" t="inlineStr">
        <is>
          <t>10810779</t>
        </is>
      </c>
      <c r="C38" s="20" t="inlineStr">
        <is>
          <t>BEER ALE PALE CBC 340ML NRB</t>
        </is>
      </c>
      <c r="D38" s="20" t="inlineStr">
        <is>
          <t>6X340ML NRB</t>
        </is>
      </c>
      <c r="E38" s="20" t="n">
        <v>6</v>
      </c>
      <c r="F38" s="21" t="n">
        <v>109.99</v>
      </c>
      <c r="G38" s="22" t="n">
        <v>81</v>
      </c>
      <c r="H38" s="22" t="n">
        <v>81</v>
      </c>
      <c r="I38" s="22" t="n">
        <v>86</v>
      </c>
      <c r="J38" s="22" t="n">
        <v>84</v>
      </c>
      <c r="K38" s="22" t="n">
        <v>92</v>
      </c>
      <c r="L38" s="22" t="n">
        <v>83</v>
      </c>
      <c r="M38" s="15">
        <f>L38*E38</f>
        <v/>
      </c>
      <c r="N38" s="21" t="n">
        <v>7938.15</v>
      </c>
      <c r="O38" s="22" t="n">
        <v>0</v>
      </c>
    </row>
    <row r="39">
      <c r="A39" s="20" t="inlineStr">
        <is>
          <t>Core</t>
        </is>
      </c>
      <c r="B39" s="20" t="inlineStr">
        <is>
          <t>10810780</t>
        </is>
      </c>
      <c r="C39" s="20" t="inlineStr">
        <is>
          <t>BEER GOLDEN LAGER DIESEL&amp;DUST 340ML NRB</t>
        </is>
      </c>
      <c r="D39" s="20" t="inlineStr">
        <is>
          <t>24X340ML NRB</t>
        </is>
      </c>
      <c r="E39" s="20" t="n">
        <v>24</v>
      </c>
      <c r="F39" s="21" t="n">
        <v>499.99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15">
        <f>L39*E39</f>
        <v/>
      </c>
      <c r="N39" s="21" t="n">
        <v>0</v>
      </c>
      <c r="O39" s="22" t="n">
        <v>0</v>
      </c>
    </row>
    <row r="40">
      <c r="A40" s="20" t="inlineStr">
        <is>
          <t>Core</t>
        </is>
      </c>
      <c r="B40" s="20" t="inlineStr">
        <is>
          <t>10810780</t>
        </is>
      </c>
      <c r="C40" s="20" t="inlineStr">
        <is>
          <t>BEER GOLDEN LAGER DIESEL&amp;DUST 340ML NRB</t>
        </is>
      </c>
      <c r="D40" s="20" t="inlineStr">
        <is>
          <t>340ML NRB</t>
        </is>
      </c>
      <c r="E40" s="20" t="n">
        <v>1</v>
      </c>
      <c r="F40" s="21" t="n">
        <v>24.99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15">
        <f>L40*E40</f>
        <v/>
      </c>
      <c r="N40" s="21" t="n">
        <v>0</v>
      </c>
      <c r="O40" s="22" t="n">
        <v>0</v>
      </c>
    </row>
    <row r="41">
      <c r="A41" s="20" t="inlineStr">
        <is>
          <t>Core</t>
        </is>
      </c>
      <c r="B41" s="20" t="inlineStr">
        <is>
          <t>10810780</t>
        </is>
      </c>
      <c r="C41" s="20" t="inlineStr">
        <is>
          <t>BEER GOLDEN LAGER DIESEL&amp;DUST 340ML NRB</t>
        </is>
      </c>
      <c r="D41" s="20" t="inlineStr">
        <is>
          <t>4X340ML NRB</t>
        </is>
      </c>
      <c r="E41" s="20" t="n">
        <v>4</v>
      </c>
      <c r="F41" s="21" t="n">
        <v>89.98999999999999</v>
      </c>
      <c r="G41" s="22" t="n">
        <v>0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15">
        <f>L41*E41</f>
        <v/>
      </c>
      <c r="N41" s="21" t="n">
        <v>0</v>
      </c>
      <c r="O41" s="22" t="n">
        <v>0</v>
      </c>
    </row>
    <row r="42">
      <c r="A42" s="20" t="inlineStr">
        <is>
          <t>Core</t>
        </is>
      </c>
      <c r="B42" s="20" t="inlineStr">
        <is>
          <t>10810782</t>
        </is>
      </c>
      <c r="C42" s="20" t="inlineStr">
        <is>
          <t>BEER BLOND ALE DIESEL&amp;DUST 340ML NRB</t>
        </is>
      </c>
      <c r="D42" s="20" t="inlineStr">
        <is>
          <t>24X340ML NRB</t>
        </is>
      </c>
      <c r="E42" s="20" t="n">
        <v>24</v>
      </c>
      <c r="F42" s="21" t="n">
        <v>500</v>
      </c>
      <c r="G42" s="22" t="n">
        <v>0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15">
        <f>L42*E42</f>
        <v/>
      </c>
      <c r="N42" s="21" t="n">
        <v>0</v>
      </c>
      <c r="O42" s="22" t="n">
        <v>0</v>
      </c>
    </row>
    <row r="43">
      <c r="A43" s="20" t="inlineStr">
        <is>
          <t>Core</t>
        </is>
      </c>
      <c r="B43" s="20" t="inlineStr">
        <is>
          <t>10810782</t>
        </is>
      </c>
      <c r="C43" s="20" t="inlineStr">
        <is>
          <t>BEER BLOND ALE DIESEL&amp;DUST 340ML NRB</t>
        </is>
      </c>
      <c r="D43" s="20" t="inlineStr">
        <is>
          <t>340ML NRB</t>
        </is>
      </c>
      <c r="E43" s="20" t="n">
        <v>1</v>
      </c>
      <c r="F43" s="21" t="n">
        <v>24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15">
        <f>L43*E43</f>
        <v/>
      </c>
      <c r="N43" s="21" t="n">
        <v>0</v>
      </c>
      <c r="O43" s="22" t="n">
        <v>0</v>
      </c>
    </row>
    <row r="44">
      <c r="A44" s="20" t="inlineStr">
        <is>
          <t>Core</t>
        </is>
      </c>
      <c r="B44" s="20" t="inlineStr">
        <is>
          <t>10810782</t>
        </is>
      </c>
      <c r="C44" s="20" t="inlineStr">
        <is>
          <t>BEER BLOND ALE DIESEL&amp;DUST 340ML NRB</t>
        </is>
      </c>
      <c r="D44" s="20" t="inlineStr">
        <is>
          <t>4X340ML NRB</t>
        </is>
      </c>
      <c r="E44" s="20" t="n">
        <v>4</v>
      </c>
      <c r="F44" s="21" t="n">
        <v>90</v>
      </c>
      <c r="G44" s="22" t="n">
        <v>0</v>
      </c>
      <c r="H44" s="22" t="n">
        <v>0</v>
      </c>
      <c r="I44" s="22" t="n">
        <v>0</v>
      </c>
      <c r="J44" s="22" t="n">
        <v>0</v>
      </c>
      <c r="K44" s="22" t="n">
        <v>0</v>
      </c>
      <c r="L44" s="22" t="n">
        <v>0</v>
      </c>
      <c r="M44" s="15">
        <f>L44*E44</f>
        <v/>
      </c>
      <c r="N44" s="21" t="n">
        <v>0</v>
      </c>
      <c r="O44" s="22" t="n">
        <v>0</v>
      </c>
    </row>
    <row r="45">
      <c r="A45" s="20" t="inlineStr">
        <is>
          <t>Core</t>
        </is>
      </c>
      <c r="B45" s="20" t="inlineStr">
        <is>
          <t>10935004</t>
        </is>
      </c>
      <c r="C45" s="20" t="inlineStr">
        <is>
          <t>BEER WEST COAST IPA CBC 340ML NRB</t>
        </is>
      </c>
      <c r="D45" s="20" t="inlineStr">
        <is>
          <t>24X340ML</t>
        </is>
      </c>
      <c r="E45" s="20" t="n">
        <v>24</v>
      </c>
      <c r="F45" s="21" t="n">
        <v>479.99</v>
      </c>
      <c r="G45" s="22" t="n">
        <v>2</v>
      </c>
      <c r="H45" s="22" t="n">
        <v>0</v>
      </c>
      <c r="I45" s="22" t="n">
        <v>1</v>
      </c>
      <c r="J45" s="22" t="n">
        <v>2</v>
      </c>
      <c r="K45" s="22" t="n">
        <v>0</v>
      </c>
      <c r="L45" s="22" t="n">
        <v>0</v>
      </c>
      <c r="M45" s="15">
        <f>L45*E45</f>
        <v/>
      </c>
      <c r="N45" s="21" t="n">
        <v>0</v>
      </c>
      <c r="O45" s="22" t="n">
        <v>0</v>
      </c>
    </row>
    <row r="46">
      <c r="A46" s="20" t="inlineStr">
        <is>
          <t>Core</t>
        </is>
      </c>
      <c r="B46" s="20" t="inlineStr">
        <is>
          <t>10935004</t>
        </is>
      </c>
      <c r="C46" s="20" t="inlineStr">
        <is>
          <t>BEER WEST COAST IPA CBC 340ML NRB</t>
        </is>
      </c>
      <c r="D46" s="20" t="inlineStr">
        <is>
          <t>340ML NRB</t>
        </is>
      </c>
      <c r="E46" s="20" t="n">
        <v>1</v>
      </c>
      <c r="F46" s="21" t="n">
        <v>24.99</v>
      </c>
      <c r="G46" s="22" t="n">
        <v>28</v>
      </c>
      <c r="H46" s="22" t="n">
        <v>32</v>
      </c>
      <c r="I46" s="22" t="n">
        <v>25</v>
      </c>
      <c r="J46" s="22" t="n">
        <v>21</v>
      </c>
      <c r="K46" s="22" t="n">
        <v>22</v>
      </c>
      <c r="L46" s="22" t="n">
        <v>23</v>
      </c>
      <c r="M46" s="15">
        <f>L46*E46</f>
        <v/>
      </c>
      <c r="N46" s="21" t="n">
        <v>499.79</v>
      </c>
      <c r="O46" s="22" t="n">
        <v>5459</v>
      </c>
    </row>
    <row r="47">
      <c r="A47" s="20" t="inlineStr">
        <is>
          <t>Core</t>
        </is>
      </c>
      <c r="B47" s="20" t="inlineStr">
        <is>
          <t>10935004</t>
        </is>
      </c>
      <c r="C47" s="20" t="inlineStr">
        <is>
          <t>BEER WEST COAST IPA CBC 340ML NRB</t>
        </is>
      </c>
      <c r="D47" s="20" t="inlineStr">
        <is>
          <t>6X340ML</t>
        </is>
      </c>
      <c r="E47" s="20" t="n">
        <v>6</v>
      </c>
      <c r="F47" s="21" t="n">
        <v>129.99</v>
      </c>
      <c r="G47" s="22" t="n">
        <v>66</v>
      </c>
      <c r="H47" s="22" t="n">
        <v>75</v>
      </c>
      <c r="I47" s="22" t="n">
        <v>91</v>
      </c>
      <c r="J47" s="22" t="n">
        <v>93</v>
      </c>
      <c r="K47" s="22" t="n">
        <v>91</v>
      </c>
      <c r="L47" s="22" t="n">
        <v>70</v>
      </c>
      <c r="M47" s="15">
        <f>L47*E47</f>
        <v/>
      </c>
      <c r="N47" s="21" t="n">
        <v>7912.11</v>
      </c>
      <c r="O47" s="22" t="n">
        <v>0</v>
      </c>
    </row>
    <row r="48">
      <c r="A48" s="20" t="inlineStr">
        <is>
          <t>Core</t>
        </is>
      </c>
      <c r="B48" s="20" t="inlineStr">
        <is>
          <t>10908314</t>
        </is>
      </c>
      <c r="C48" s="20" t="inlineStr">
        <is>
          <t>COOLER ROOIBOS TEAZY 300ML, PEACH</t>
        </is>
      </c>
      <c r="D48" s="20" t="inlineStr">
        <is>
          <t>24X300ML</t>
        </is>
      </c>
      <c r="E48" s="20" t="n">
        <v>24</v>
      </c>
      <c r="F48" s="21" t="n">
        <v>569.99</v>
      </c>
      <c r="G48" s="22" t="n">
        <v>1</v>
      </c>
      <c r="H48" s="22" t="n">
        <v>0</v>
      </c>
      <c r="I48" s="22" t="n">
        <v>0</v>
      </c>
      <c r="J48" s="22" t="n">
        <v>0</v>
      </c>
      <c r="K48" s="22" t="n">
        <v>1</v>
      </c>
      <c r="L48" s="22" t="n">
        <v>0</v>
      </c>
      <c r="M48" s="15">
        <f>L48*E48</f>
        <v/>
      </c>
      <c r="N48" s="21" t="n">
        <v>0</v>
      </c>
      <c r="O48" s="22" t="n">
        <v>0</v>
      </c>
    </row>
    <row r="49">
      <c r="A49" s="20" t="inlineStr">
        <is>
          <t>Core</t>
        </is>
      </c>
      <c r="B49" s="20" t="inlineStr">
        <is>
          <t>10908314</t>
        </is>
      </c>
      <c r="C49" s="20" t="inlineStr">
        <is>
          <t>COOLER ROOIBOS TEAZY 300ML, PEACH</t>
        </is>
      </c>
      <c r="D49" s="20" t="inlineStr">
        <is>
          <t>300ML CAN</t>
        </is>
      </c>
      <c r="E49" s="20" t="n">
        <v>1</v>
      </c>
      <c r="F49" s="21" t="n">
        <v>28.99</v>
      </c>
      <c r="G49" s="22" t="n">
        <v>8</v>
      </c>
      <c r="H49" s="22" t="n">
        <v>20</v>
      </c>
      <c r="I49" s="22" t="n">
        <v>12</v>
      </c>
      <c r="J49" s="22" t="n">
        <v>12</v>
      </c>
      <c r="K49" s="22" t="n">
        <v>15</v>
      </c>
      <c r="L49" s="22" t="n">
        <v>6</v>
      </c>
      <c r="M49" s="15">
        <f>L49*E49</f>
        <v/>
      </c>
      <c r="N49" s="21" t="n">
        <v>151.26</v>
      </c>
      <c r="O49" s="22" t="n">
        <v>8454</v>
      </c>
    </row>
    <row r="50">
      <c r="A50" s="20" t="inlineStr">
        <is>
          <t>Core</t>
        </is>
      </c>
      <c r="B50" s="20" t="inlineStr">
        <is>
          <t>10908314</t>
        </is>
      </c>
      <c r="C50" s="20" t="inlineStr">
        <is>
          <t>COOLER ROOIBOS TEAZY 300ML, PEACH</t>
        </is>
      </c>
      <c r="D50" s="20" t="inlineStr">
        <is>
          <t>6X300ML</t>
        </is>
      </c>
      <c r="E50" s="20" t="n">
        <v>6</v>
      </c>
      <c r="F50" s="21" t="n">
        <v>149.99</v>
      </c>
      <c r="G50" s="22" t="n">
        <v>24</v>
      </c>
      <c r="H50" s="22" t="n">
        <v>30</v>
      </c>
      <c r="I50" s="22" t="n">
        <v>26</v>
      </c>
      <c r="J50" s="22" t="n">
        <v>31</v>
      </c>
      <c r="K50" s="22" t="n">
        <v>28</v>
      </c>
      <c r="L50" s="22" t="n">
        <v>33</v>
      </c>
      <c r="M50" s="15">
        <f>L50*E50</f>
        <v/>
      </c>
      <c r="N50" s="21" t="n">
        <v>4304.19</v>
      </c>
      <c r="O50" s="22" t="n">
        <v>0</v>
      </c>
    </row>
    <row r="51">
      <c r="A51" s="20" t="inlineStr">
        <is>
          <t>Core</t>
        </is>
      </c>
      <c r="B51" s="20" t="inlineStr">
        <is>
          <t>10908315</t>
        </is>
      </c>
      <c r="C51" s="20" t="inlineStr">
        <is>
          <t>COOLER ROOIBOS TEAZY 300ML, PASSION FRT</t>
        </is>
      </c>
      <c r="D51" s="20" t="inlineStr">
        <is>
          <t>24X300ML</t>
        </is>
      </c>
      <c r="E51" s="20" t="n">
        <v>24</v>
      </c>
      <c r="F51" s="21" t="n">
        <v>569.99</v>
      </c>
      <c r="G51" s="22" t="n">
        <v>0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0</v>
      </c>
      <c r="M51" s="15">
        <f>L51*E51</f>
        <v/>
      </c>
      <c r="N51" s="21" t="n">
        <v>0</v>
      </c>
      <c r="O51" s="22" t="n">
        <v>0</v>
      </c>
    </row>
    <row r="52">
      <c r="A52" s="20" t="inlineStr">
        <is>
          <t>Core</t>
        </is>
      </c>
      <c r="B52" s="20" t="inlineStr">
        <is>
          <t>10908315</t>
        </is>
      </c>
      <c r="C52" s="20" t="inlineStr">
        <is>
          <t>COOLER ROOIBOS TEAZY 300ML, PASSION FRT</t>
        </is>
      </c>
      <c r="D52" s="20" t="inlineStr">
        <is>
          <t>24X300ML</t>
        </is>
      </c>
      <c r="E52" s="20" t="n">
        <v>24</v>
      </c>
      <c r="F52" s="21" t="n">
        <v>569.99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15">
        <f>L52*E52</f>
        <v/>
      </c>
      <c r="N52" s="21" t="n">
        <v>0</v>
      </c>
      <c r="O52" s="22" t="n">
        <v>0</v>
      </c>
    </row>
    <row r="53">
      <c r="A53" s="20" t="inlineStr">
        <is>
          <t>Core</t>
        </is>
      </c>
      <c r="B53" s="20" t="inlineStr">
        <is>
          <t>10908315</t>
        </is>
      </c>
      <c r="C53" s="20" t="inlineStr">
        <is>
          <t>COOLER ROOIBOS TEAZY 300ML, PASSION FRT</t>
        </is>
      </c>
      <c r="D53" s="20" t="inlineStr">
        <is>
          <t>300ML CAN</t>
        </is>
      </c>
      <c r="E53" s="20" t="n">
        <v>1</v>
      </c>
      <c r="F53" s="21" t="n">
        <v>28.99</v>
      </c>
      <c r="G53" s="22" t="n">
        <v>0</v>
      </c>
      <c r="H53" s="22" t="n">
        <v>2</v>
      </c>
      <c r="I53" s="22" t="n">
        <v>0</v>
      </c>
      <c r="J53" s="22" t="n">
        <v>0</v>
      </c>
      <c r="K53" s="22" t="n">
        <v>0</v>
      </c>
      <c r="L53" s="22" t="n">
        <v>1</v>
      </c>
      <c r="M53" s="15">
        <f>L53*E53</f>
        <v/>
      </c>
      <c r="N53" s="21" t="n">
        <v>25.21</v>
      </c>
      <c r="O53" s="22" t="n">
        <v>1086</v>
      </c>
    </row>
    <row r="54">
      <c r="A54" s="20" t="inlineStr">
        <is>
          <t>Core</t>
        </is>
      </c>
      <c r="B54" s="20" t="inlineStr">
        <is>
          <t>10908315</t>
        </is>
      </c>
      <c r="C54" s="20" t="inlineStr">
        <is>
          <t>COOLER ROOIBOS TEAZY 300ML, PASSION FRT</t>
        </is>
      </c>
      <c r="D54" s="20" t="inlineStr">
        <is>
          <t>300ML CAN</t>
        </is>
      </c>
      <c r="E54" s="20" t="n">
        <v>1</v>
      </c>
      <c r="F54" s="21" t="n">
        <v>28.99</v>
      </c>
      <c r="G54" s="22" t="n">
        <v>7</v>
      </c>
      <c r="H54" s="22" t="n">
        <v>14</v>
      </c>
      <c r="I54" s="22" t="n">
        <v>5</v>
      </c>
      <c r="J54" s="22" t="n">
        <v>9</v>
      </c>
      <c r="K54" s="22" t="n">
        <v>10</v>
      </c>
      <c r="L54" s="22" t="n">
        <v>13</v>
      </c>
      <c r="M54" s="15">
        <f>L54*E54</f>
        <v/>
      </c>
      <c r="N54" s="21" t="n">
        <v>327.73</v>
      </c>
      <c r="O54" s="22" t="n">
        <v>8499</v>
      </c>
    </row>
    <row r="55">
      <c r="A55" s="20" t="inlineStr">
        <is>
          <t>Core</t>
        </is>
      </c>
      <c r="B55" s="20" t="inlineStr">
        <is>
          <t>10908315</t>
        </is>
      </c>
      <c r="C55" s="20" t="inlineStr">
        <is>
          <t>COOLER ROOIBOS TEAZY 300ML, PASSION FRT</t>
        </is>
      </c>
      <c r="D55" s="20" t="inlineStr">
        <is>
          <t>6X300ML</t>
        </is>
      </c>
      <c r="E55" s="20" t="n">
        <v>6</v>
      </c>
      <c r="F55" s="21" t="n">
        <v>149.99</v>
      </c>
      <c r="G55" s="22" t="n">
        <v>1</v>
      </c>
      <c r="H55" s="22" t="n">
        <v>1</v>
      </c>
      <c r="I55" s="22" t="n">
        <v>1</v>
      </c>
      <c r="J55" s="22" t="n">
        <v>2</v>
      </c>
      <c r="K55" s="22" t="n">
        <v>1</v>
      </c>
      <c r="L55" s="22" t="n">
        <v>1</v>
      </c>
      <c r="M55" s="15">
        <f>L55*E55</f>
        <v/>
      </c>
      <c r="N55" s="21" t="n">
        <v>130.43</v>
      </c>
      <c r="O55" s="22" t="n">
        <v>0</v>
      </c>
    </row>
    <row r="56">
      <c r="A56" s="20" t="inlineStr">
        <is>
          <t>Core</t>
        </is>
      </c>
      <c r="B56" s="20" t="inlineStr">
        <is>
          <t>10908315</t>
        </is>
      </c>
      <c r="C56" s="20" t="inlineStr">
        <is>
          <t>COOLER ROOIBOS TEAZY 300ML, PASSION FRT</t>
        </is>
      </c>
      <c r="D56" s="20" t="inlineStr">
        <is>
          <t>6X300ML</t>
        </is>
      </c>
      <c r="E56" s="20" t="n">
        <v>6</v>
      </c>
      <c r="F56" s="21" t="n">
        <v>149.99</v>
      </c>
      <c r="G56" s="22" t="n">
        <v>8</v>
      </c>
      <c r="H56" s="22" t="n">
        <v>14</v>
      </c>
      <c r="I56" s="22" t="n">
        <v>14</v>
      </c>
      <c r="J56" s="22" t="n">
        <v>10</v>
      </c>
      <c r="K56" s="22" t="n">
        <v>13</v>
      </c>
      <c r="L56" s="22" t="n">
        <v>9</v>
      </c>
      <c r="M56" s="15">
        <f>L56*E56</f>
        <v/>
      </c>
      <c r="N56" s="21" t="n">
        <v>1173.87</v>
      </c>
      <c r="O56" s="22" t="n">
        <v>0</v>
      </c>
    </row>
    <row r="57">
      <c r="A57" s="20" t="inlineStr">
        <is>
          <t>Core</t>
        </is>
      </c>
      <c r="B57" s="20" t="inlineStr">
        <is>
          <t>10908316</t>
        </is>
      </c>
      <c r="C57" s="20" t="inlineStr">
        <is>
          <t>COOLER ROOIBOS TEAZY 300ML, WILD BERRY</t>
        </is>
      </c>
      <c r="D57" s="20" t="inlineStr">
        <is>
          <t>24X300ML</t>
        </is>
      </c>
      <c r="E57" s="20" t="n">
        <v>24</v>
      </c>
      <c r="F57" s="21" t="n">
        <v>569.99</v>
      </c>
      <c r="G57" s="22" t="n">
        <v>1</v>
      </c>
      <c r="H57" s="22" t="n">
        <v>1</v>
      </c>
      <c r="I57" s="22" t="n">
        <v>0</v>
      </c>
      <c r="J57" s="22" t="n">
        <v>0</v>
      </c>
      <c r="K57" s="22" t="n">
        <v>0</v>
      </c>
      <c r="L57" s="22" t="n">
        <v>0</v>
      </c>
      <c r="M57" s="15">
        <f>L57*E57</f>
        <v/>
      </c>
      <c r="N57" s="21" t="n">
        <v>0</v>
      </c>
      <c r="O57" s="22" t="n">
        <v>0</v>
      </c>
    </row>
    <row r="58">
      <c r="A58" s="20" t="inlineStr">
        <is>
          <t>Core</t>
        </is>
      </c>
      <c r="B58" s="20" t="inlineStr">
        <is>
          <t>10908316</t>
        </is>
      </c>
      <c r="C58" s="20" t="inlineStr">
        <is>
          <t>COOLER ROOIBOS TEAZY 300ML, WILD BERRY</t>
        </is>
      </c>
      <c r="D58" s="20" t="inlineStr">
        <is>
          <t>300ML CAN</t>
        </is>
      </c>
      <c r="E58" s="20" t="n">
        <v>1</v>
      </c>
      <c r="F58" s="21" t="n">
        <v>28.99</v>
      </c>
      <c r="G58" s="22" t="n">
        <v>9</v>
      </c>
      <c r="H58" s="22" t="n">
        <v>10</v>
      </c>
      <c r="I58" s="22" t="n">
        <v>8</v>
      </c>
      <c r="J58" s="22" t="n">
        <v>12</v>
      </c>
      <c r="K58" s="22" t="n">
        <v>13</v>
      </c>
      <c r="L58" s="22" t="n">
        <v>8</v>
      </c>
      <c r="M58" s="15">
        <f>L58*E58</f>
        <v/>
      </c>
      <c r="N58" s="21" t="n">
        <v>201.68</v>
      </c>
      <c r="O58" s="22" t="n">
        <v>9103</v>
      </c>
    </row>
    <row r="59">
      <c r="A59" s="20" t="inlineStr">
        <is>
          <t>Core</t>
        </is>
      </c>
      <c r="B59" s="20" t="inlineStr">
        <is>
          <t>10908316</t>
        </is>
      </c>
      <c r="C59" s="20" t="inlineStr">
        <is>
          <t>COOLER ROOIBOS TEAZY 300ML, WILD BERRY</t>
        </is>
      </c>
      <c r="D59" s="20" t="inlineStr">
        <is>
          <t>6X300ML</t>
        </is>
      </c>
      <c r="E59" s="20" t="n">
        <v>6</v>
      </c>
      <c r="F59" s="21" t="n">
        <v>149.99</v>
      </c>
      <c r="G59" s="22" t="n">
        <v>21</v>
      </c>
      <c r="H59" s="22" t="n">
        <v>16</v>
      </c>
      <c r="I59" s="22" t="n">
        <v>26</v>
      </c>
      <c r="J59" s="22" t="n">
        <v>23</v>
      </c>
      <c r="K59" s="22" t="n">
        <v>19</v>
      </c>
      <c r="L59" s="22" t="n">
        <v>17</v>
      </c>
      <c r="M59" s="15">
        <f>L59*E59</f>
        <v/>
      </c>
      <c r="N59" s="21" t="n">
        <v>2217.3</v>
      </c>
      <c r="O59" s="22" t="n">
        <v>0</v>
      </c>
    </row>
    <row r="60">
      <c r="A60" s="20" t="inlineStr">
        <is>
          <t>Core</t>
        </is>
      </c>
      <c r="B60" s="20" t="inlineStr">
        <is>
          <t>10615602</t>
        </is>
      </c>
      <c r="C60" s="20" t="inlineStr">
        <is>
          <t>CIDER REKORDERLIG 500ML BOT, WILD BERRY</t>
        </is>
      </c>
      <c r="D60" s="20" t="inlineStr">
        <is>
          <t>15X500ML BOT</t>
        </is>
      </c>
      <c r="E60" s="20" t="n">
        <v>15</v>
      </c>
      <c r="F60" s="21" t="n">
        <v>550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2" t="n">
        <v>0</v>
      </c>
      <c r="M60" s="15">
        <f>L60*E60</f>
        <v/>
      </c>
      <c r="N60" s="21" t="n">
        <v>0</v>
      </c>
      <c r="O60" s="22" t="n">
        <v>0</v>
      </c>
    </row>
    <row r="61">
      <c r="A61" s="20" t="inlineStr">
        <is>
          <t>Core</t>
        </is>
      </c>
      <c r="B61" s="20" t="inlineStr">
        <is>
          <t>10615602</t>
        </is>
      </c>
      <c r="C61" s="20" t="inlineStr">
        <is>
          <t>CIDER REKORDERLIG 500ML BOT, WILD BERRY</t>
        </is>
      </c>
      <c r="D61" s="20" t="inlineStr">
        <is>
          <t>15X500ML BOT</t>
        </is>
      </c>
      <c r="E61" s="20" t="n">
        <v>15</v>
      </c>
      <c r="F61" s="21" t="n">
        <v>550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0</v>
      </c>
      <c r="M61" s="15">
        <f>L61*E61</f>
        <v/>
      </c>
      <c r="N61" s="21" t="n">
        <v>0</v>
      </c>
      <c r="O61" s="22" t="n">
        <v>0</v>
      </c>
    </row>
    <row r="62">
      <c r="A62" s="20" t="inlineStr">
        <is>
          <t>Core</t>
        </is>
      </c>
      <c r="B62" s="20" t="inlineStr">
        <is>
          <t>10615602</t>
        </is>
      </c>
      <c r="C62" s="20" t="inlineStr">
        <is>
          <t>CIDER REKORDERLIG 500ML BOT, WILD BERRY</t>
        </is>
      </c>
      <c r="D62" s="20" t="inlineStr">
        <is>
          <t>500ML BOT</t>
        </is>
      </c>
      <c r="E62" s="20" t="n">
        <v>1</v>
      </c>
      <c r="F62" s="21" t="n">
        <v>40</v>
      </c>
      <c r="G62" s="22" t="n">
        <v>0</v>
      </c>
      <c r="H62" s="22" t="n">
        <v>0</v>
      </c>
      <c r="I62" s="22" t="n">
        <v>0</v>
      </c>
      <c r="J62" s="22" t="n">
        <v>0</v>
      </c>
      <c r="K62" s="22" t="n">
        <v>0</v>
      </c>
      <c r="L62" s="22" t="n">
        <v>0</v>
      </c>
      <c r="M62" s="15">
        <f>L62*E62</f>
        <v/>
      </c>
      <c r="N62" s="21" t="n">
        <v>0</v>
      </c>
      <c r="O62" s="22" t="n">
        <v>0</v>
      </c>
    </row>
    <row r="63">
      <c r="A63" s="20" t="inlineStr">
        <is>
          <t>Core</t>
        </is>
      </c>
      <c r="B63" s="20" t="inlineStr">
        <is>
          <t>10615602</t>
        </is>
      </c>
      <c r="C63" s="20" t="inlineStr">
        <is>
          <t>CIDER REKORDERLIG 500ML BOT, WILD BERRY</t>
        </is>
      </c>
      <c r="D63" s="20" t="inlineStr">
        <is>
          <t>500ML BOT</t>
        </is>
      </c>
      <c r="E63" s="20" t="n">
        <v>1</v>
      </c>
      <c r="F63" s="21" t="n">
        <v>40</v>
      </c>
      <c r="G63" s="22" t="n">
        <v>0</v>
      </c>
      <c r="H63" s="22" t="n">
        <v>0</v>
      </c>
      <c r="I63" s="22" t="n">
        <v>0</v>
      </c>
      <c r="J63" s="22" t="n">
        <v>0</v>
      </c>
      <c r="K63" s="22" t="n">
        <v>0</v>
      </c>
      <c r="L63" s="22" t="n">
        <v>0</v>
      </c>
      <c r="M63" s="15">
        <f>L63*E63</f>
        <v/>
      </c>
      <c r="N63" s="21" t="n">
        <v>0</v>
      </c>
      <c r="O63" s="22" t="n">
        <v>0</v>
      </c>
    </row>
    <row r="64">
      <c r="A64" s="20" t="inlineStr">
        <is>
          <t>Core</t>
        </is>
      </c>
      <c r="B64" s="20" t="inlineStr">
        <is>
          <t>10615603</t>
        </is>
      </c>
      <c r="C64" s="20" t="inlineStr">
        <is>
          <t>CIDER REKORDERLIG 500ML BOT, STRAWB LIME</t>
        </is>
      </c>
      <c r="D64" s="20" t="inlineStr">
        <is>
          <t>15X500ML BOT</t>
        </is>
      </c>
      <c r="E64" s="20" t="n">
        <v>15</v>
      </c>
      <c r="F64" s="21" t="n">
        <v>550</v>
      </c>
      <c r="G64" s="22" t="n">
        <v>0</v>
      </c>
      <c r="H64" s="22" t="n">
        <v>0</v>
      </c>
      <c r="I64" s="22" t="n">
        <v>0</v>
      </c>
      <c r="J64" s="22" t="n">
        <v>0</v>
      </c>
      <c r="K64" s="22" t="n">
        <v>0</v>
      </c>
      <c r="L64" s="22" t="n">
        <v>0</v>
      </c>
      <c r="M64" s="15">
        <f>L64*E64</f>
        <v/>
      </c>
      <c r="N64" s="21" t="n">
        <v>0</v>
      </c>
      <c r="O64" s="22" t="n">
        <v>0</v>
      </c>
    </row>
    <row r="65">
      <c r="A65" s="20" t="inlineStr">
        <is>
          <t>Core</t>
        </is>
      </c>
      <c r="B65" s="20" t="inlineStr">
        <is>
          <t>10615603</t>
        </is>
      </c>
      <c r="C65" s="20" t="inlineStr">
        <is>
          <t>CIDER REKORDERLIG 500ML BOT, STRAWB LIME</t>
        </is>
      </c>
      <c r="D65" s="20" t="inlineStr">
        <is>
          <t>15X500ML BOT</t>
        </is>
      </c>
      <c r="E65" s="20" t="n">
        <v>15</v>
      </c>
      <c r="F65" s="21" t="n">
        <v>550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2" t="n">
        <v>0</v>
      </c>
      <c r="M65" s="15">
        <f>L65*E65</f>
        <v/>
      </c>
      <c r="N65" s="21" t="n">
        <v>0</v>
      </c>
      <c r="O65" s="22" t="n">
        <v>0</v>
      </c>
    </row>
    <row r="66">
      <c r="A66" s="20" t="inlineStr">
        <is>
          <t>Core</t>
        </is>
      </c>
      <c r="B66" s="20" t="inlineStr">
        <is>
          <t>10615603</t>
        </is>
      </c>
      <c r="C66" s="20" t="inlineStr">
        <is>
          <t>CIDER REKORDERLIG 500ML BOT, STRAWB LIME</t>
        </is>
      </c>
      <c r="D66" s="20" t="inlineStr">
        <is>
          <t>500ML BOT</t>
        </is>
      </c>
      <c r="E66" s="20" t="n">
        <v>1</v>
      </c>
      <c r="F66" s="21" t="n">
        <v>40</v>
      </c>
      <c r="G66" s="22" t="n">
        <v>0</v>
      </c>
      <c r="H66" s="22" t="n">
        <v>0</v>
      </c>
      <c r="I66" s="22" t="n">
        <v>0</v>
      </c>
      <c r="J66" s="22" t="n">
        <v>0</v>
      </c>
      <c r="K66" s="22" t="n">
        <v>0</v>
      </c>
      <c r="L66" s="22" t="n">
        <v>0</v>
      </c>
      <c r="M66" s="15">
        <f>L66*E66</f>
        <v/>
      </c>
      <c r="N66" s="21" t="n">
        <v>0</v>
      </c>
      <c r="O66" s="22" t="n">
        <v>0</v>
      </c>
    </row>
    <row r="67">
      <c r="A67" s="20" t="inlineStr">
        <is>
          <t>Core</t>
        </is>
      </c>
      <c r="B67" s="20" t="inlineStr">
        <is>
          <t>10615603</t>
        </is>
      </c>
      <c r="C67" s="20" t="inlineStr">
        <is>
          <t>CIDER REKORDERLIG 500ML BOT, STRAWB LIME</t>
        </is>
      </c>
      <c r="D67" s="20" t="inlineStr">
        <is>
          <t>500ML BOT</t>
        </is>
      </c>
      <c r="E67" s="20" t="n">
        <v>1</v>
      </c>
      <c r="F67" s="21" t="n">
        <v>40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2" t="n">
        <v>0</v>
      </c>
      <c r="M67" s="15">
        <f>L67*E67</f>
        <v/>
      </c>
      <c r="N67" s="21" t="n">
        <v>0</v>
      </c>
      <c r="O67" s="22" t="n">
        <v>0</v>
      </c>
    </row>
    <row r="68">
      <c r="A68" s="20" t="inlineStr">
        <is>
          <t>Core</t>
        </is>
      </c>
      <c r="B68" s="20" t="inlineStr">
        <is>
          <t>10787565</t>
        </is>
      </c>
      <c r="C68" s="20" t="inlineStr">
        <is>
          <t>CIDER STRAWB LIME REKORDERLIG 330ML CAN</t>
        </is>
      </c>
      <c r="D68" s="20" t="inlineStr">
        <is>
          <t>24X330ML CAN</t>
        </is>
      </c>
      <c r="E68" s="20" t="n">
        <v>24</v>
      </c>
      <c r="F68" s="21" t="n">
        <v>614.99</v>
      </c>
      <c r="G68" s="22" t="n">
        <v>4</v>
      </c>
      <c r="H68" s="22" t="n">
        <v>8</v>
      </c>
      <c r="I68" s="22" t="n">
        <v>1</v>
      </c>
      <c r="J68" s="22" t="n">
        <v>2</v>
      </c>
      <c r="K68" s="22" t="n">
        <v>2</v>
      </c>
      <c r="L68" s="22" t="n">
        <v>2</v>
      </c>
      <c r="M68" s="15">
        <f>L68*E68</f>
        <v/>
      </c>
      <c r="N68" s="21" t="n">
        <v>1069.54</v>
      </c>
      <c r="O68" s="22" t="n">
        <v>0</v>
      </c>
    </row>
    <row r="69">
      <c r="A69" s="20" t="inlineStr">
        <is>
          <t>Core</t>
        </is>
      </c>
      <c r="B69" s="20" t="inlineStr">
        <is>
          <t>10787565</t>
        </is>
      </c>
      <c r="C69" s="20" t="inlineStr">
        <is>
          <t>CIDER STRAWB LIME REKORDERLIG 330ML CAN</t>
        </is>
      </c>
      <c r="D69" s="20" t="inlineStr">
        <is>
          <t>330ML CAN</t>
        </is>
      </c>
      <c r="E69" s="20" t="n">
        <v>1</v>
      </c>
      <c r="F69" s="21" t="n">
        <v>32.99</v>
      </c>
      <c r="G69" s="22" t="n">
        <v>427</v>
      </c>
      <c r="H69" s="22" t="n">
        <v>509</v>
      </c>
      <c r="I69" s="22" t="n">
        <v>464</v>
      </c>
      <c r="J69" s="22" t="n">
        <v>597</v>
      </c>
      <c r="K69" s="22" t="n">
        <v>554</v>
      </c>
      <c r="L69" s="22" t="n">
        <v>348</v>
      </c>
      <c r="M69" s="15">
        <f>L69*E69</f>
        <v/>
      </c>
      <c r="N69" s="21" t="n">
        <v>9984.059999999999</v>
      </c>
      <c r="O69" s="22" t="n">
        <v>53347</v>
      </c>
    </row>
    <row r="70">
      <c r="A70" s="20" t="inlineStr">
        <is>
          <t>Core</t>
        </is>
      </c>
      <c r="B70" s="20" t="inlineStr">
        <is>
          <t>10787565</t>
        </is>
      </c>
      <c r="C70" s="20" t="inlineStr">
        <is>
          <t>CIDER STRAWB LIME REKORDERLIG 330ML CAN</t>
        </is>
      </c>
      <c r="D70" s="20" t="inlineStr">
        <is>
          <t>4X330ML CAN</t>
        </is>
      </c>
      <c r="E70" s="20" t="n">
        <v>4</v>
      </c>
      <c r="F70" s="21" t="n">
        <v>109.99</v>
      </c>
      <c r="G70" s="22" t="n">
        <v>1392</v>
      </c>
      <c r="H70" s="22" t="n">
        <v>1436</v>
      </c>
      <c r="I70" s="22" t="n">
        <v>1392</v>
      </c>
      <c r="J70" s="22" t="n">
        <v>1612</v>
      </c>
      <c r="K70" s="22" t="n">
        <v>1675</v>
      </c>
      <c r="L70" s="22" t="n">
        <v>1742</v>
      </c>
      <c r="M70" s="15">
        <f>L70*E70</f>
        <v/>
      </c>
      <c r="N70" s="21" t="n">
        <v>147015.5</v>
      </c>
      <c r="O70" s="22" t="n">
        <v>0</v>
      </c>
    </row>
    <row r="71">
      <c r="A71" s="20" t="inlineStr">
        <is>
          <t>Core</t>
        </is>
      </c>
      <c r="B71" s="20" t="inlineStr">
        <is>
          <t>10842437</t>
        </is>
      </c>
      <c r="C71" s="20" t="inlineStr">
        <is>
          <t>CIDER PASSION FRUIT REKORDELIG 330ML CAN</t>
        </is>
      </c>
      <c r="D71" s="20" t="inlineStr">
        <is>
          <t>24X330ML CAN</t>
        </is>
      </c>
      <c r="E71" s="20" t="n">
        <v>24</v>
      </c>
      <c r="F71" s="21" t="n">
        <v>589.99</v>
      </c>
      <c r="G71" s="22" t="n">
        <v>3</v>
      </c>
      <c r="H71" s="22" t="n">
        <v>6</v>
      </c>
      <c r="I71" s="22" t="n">
        <v>5</v>
      </c>
      <c r="J71" s="22" t="n">
        <v>4</v>
      </c>
      <c r="K71" s="22" t="n">
        <v>3</v>
      </c>
      <c r="L71" s="22" t="n">
        <v>0</v>
      </c>
      <c r="M71" s="15">
        <f>L71*E71</f>
        <v/>
      </c>
      <c r="N71" s="21" t="n">
        <v>0</v>
      </c>
      <c r="O71" s="22" t="n">
        <v>0</v>
      </c>
    </row>
    <row r="72">
      <c r="A72" s="20" t="inlineStr">
        <is>
          <t>Core</t>
        </is>
      </c>
      <c r="B72" s="20" t="inlineStr">
        <is>
          <t>10842437</t>
        </is>
      </c>
      <c r="C72" s="20" t="inlineStr">
        <is>
          <t>CIDER PASSION FRUIT REKORDELIG 330ML CAN</t>
        </is>
      </c>
      <c r="D72" s="20" t="inlineStr">
        <is>
          <t>330ML CAN</t>
        </is>
      </c>
      <c r="E72" s="20" t="n">
        <v>1</v>
      </c>
      <c r="F72" s="21" t="n">
        <v>32.99</v>
      </c>
      <c r="G72" s="22" t="n">
        <v>675</v>
      </c>
      <c r="H72" s="22" t="n">
        <v>524</v>
      </c>
      <c r="I72" s="22" t="n">
        <v>567</v>
      </c>
      <c r="J72" s="22" t="n">
        <v>722</v>
      </c>
      <c r="K72" s="22" t="n">
        <v>625</v>
      </c>
      <c r="L72" s="22" t="n">
        <v>437</v>
      </c>
      <c r="M72" s="15">
        <f>L72*E72</f>
        <v/>
      </c>
      <c r="N72" s="21" t="n">
        <v>12490.54</v>
      </c>
      <c r="O72" s="22" t="n">
        <v>53893</v>
      </c>
    </row>
    <row r="73">
      <c r="A73" s="20" t="inlineStr">
        <is>
          <t>Core</t>
        </is>
      </c>
      <c r="B73" s="20" t="inlineStr">
        <is>
          <t>10842437</t>
        </is>
      </c>
      <c r="C73" s="20" t="inlineStr">
        <is>
          <t>CIDER PASSION FRUIT REKORDELIG 330ML CAN</t>
        </is>
      </c>
      <c r="D73" s="20" t="inlineStr">
        <is>
          <t>4X330ML CAN</t>
        </is>
      </c>
      <c r="E73" s="20" t="n">
        <v>4</v>
      </c>
      <c r="F73" s="21" t="n">
        <v>109.99</v>
      </c>
      <c r="G73" s="22" t="n">
        <v>1447</v>
      </c>
      <c r="H73" s="22" t="n">
        <v>1506</v>
      </c>
      <c r="I73" s="22" t="n">
        <v>1573</v>
      </c>
      <c r="J73" s="22" t="n">
        <v>1767</v>
      </c>
      <c r="K73" s="22" t="n">
        <v>1771</v>
      </c>
      <c r="L73" s="22" t="n">
        <v>1971</v>
      </c>
      <c r="M73" s="15">
        <f>L73*E73</f>
        <v/>
      </c>
      <c r="N73" s="21" t="n">
        <v>163835.27</v>
      </c>
      <c r="O73" s="22" t="n">
        <v>0</v>
      </c>
    </row>
    <row r="74">
      <c r="A74" s="20" t="inlineStr">
        <is>
          <t>Core</t>
        </is>
      </c>
      <c r="B74" s="20" t="inlineStr">
        <is>
          <t>10864669</t>
        </is>
      </c>
      <c r="C74" s="20" t="inlineStr">
        <is>
          <t>CIDER WILD BERRIES REKORDERLIG 330ML</t>
        </is>
      </c>
      <c r="D74" s="20" t="inlineStr">
        <is>
          <t>24X330ML CAN</t>
        </is>
      </c>
      <c r="E74" s="20" t="n">
        <v>24</v>
      </c>
      <c r="F74" s="21" t="n">
        <v>589.99</v>
      </c>
      <c r="G74" s="22" t="n">
        <v>7</v>
      </c>
      <c r="H74" s="22" t="n">
        <v>5</v>
      </c>
      <c r="I74" s="22" t="n">
        <v>4</v>
      </c>
      <c r="J74" s="22" t="n">
        <v>6</v>
      </c>
      <c r="K74" s="22" t="n">
        <v>10</v>
      </c>
      <c r="L74" s="22" t="n">
        <v>1</v>
      </c>
      <c r="M74" s="15">
        <f>L74*E74</f>
        <v/>
      </c>
      <c r="N74" s="21" t="n">
        <v>534.77</v>
      </c>
      <c r="O74" s="22" t="n">
        <v>0</v>
      </c>
    </row>
    <row r="75">
      <c r="A75" s="20" t="inlineStr">
        <is>
          <t>Core</t>
        </is>
      </c>
      <c r="B75" s="20" t="inlineStr">
        <is>
          <t>10864669</t>
        </is>
      </c>
      <c r="C75" s="20" t="inlineStr">
        <is>
          <t>CIDER WILD BERRIES REKORDERLIG 330ML</t>
        </is>
      </c>
      <c r="D75" s="20" t="inlineStr">
        <is>
          <t>330ML CAN</t>
        </is>
      </c>
      <c r="E75" s="20" t="n">
        <v>1</v>
      </c>
      <c r="F75" s="21" t="n">
        <v>32.99</v>
      </c>
      <c r="G75" s="22" t="n">
        <v>632</v>
      </c>
      <c r="H75" s="22" t="n">
        <v>522</v>
      </c>
      <c r="I75" s="22" t="n">
        <v>622</v>
      </c>
      <c r="J75" s="22" t="n">
        <v>711</v>
      </c>
      <c r="K75" s="22" t="n">
        <v>630</v>
      </c>
      <c r="L75" s="22" t="n">
        <v>486</v>
      </c>
      <c r="M75" s="15">
        <f>L75*E75</f>
        <v/>
      </c>
      <c r="N75" s="21" t="n">
        <v>13943.3</v>
      </c>
      <c r="O75" s="22" t="n">
        <v>54527</v>
      </c>
    </row>
    <row r="76">
      <c r="A76" s="20" t="inlineStr">
        <is>
          <t>Core</t>
        </is>
      </c>
      <c r="B76" s="20" t="inlineStr">
        <is>
          <t>10864669</t>
        </is>
      </c>
      <c r="C76" s="20" t="inlineStr">
        <is>
          <t>CIDER WILD BERRIES REKORDERLIG 330ML</t>
        </is>
      </c>
      <c r="D76" s="20" t="inlineStr">
        <is>
          <t>4X330ML CAN</t>
        </is>
      </c>
      <c r="E76" s="20" t="n">
        <v>4</v>
      </c>
      <c r="F76" s="21" t="n">
        <v>109.99</v>
      </c>
      <c r="G76" s="22" t="n">
        <v>1473</v>
      </c>
      <c r="H76" s="22" t="n">
        <v>1643</v>
      </c>
      <c r="I76" s="22" t="n">
        <v>1654</v>
      </c>
      <c r="J76" s="22" t="n">
        <v>1747</v>
      </c>
      <c r="K76" s="22" t="n">
        <v>1943</v>
      </c>
      <c r="L76" s="22" t="n">
        <v>2004</v>
      </c>
      <c r="M76" s="15">
        <f>L76*E76</f>
        <v/>
      </c>
      <c r="N76" s="21" t="n">
        <v>167600.38</v>
      </c>
      <c r="O76" s="22" t="n">
        <v>0</v>
      </c>
    </row>
    <row r="77">
      <c r="A77" s="20" t="inlineStr">
        <is>
          <t>Core</t>
        </is>
      </c>
      <c r="B77" s="20" t="inlineStr">
        <is>
          <t>10864670</t>
        </is>
      </c>
      <c r="C77" s="20" t="inlineStr">
        <is>
          <t>CIDER MANGO RASPB REKORDERLIG 330ML</t>
        </is>
      </c>
      <c r="D77" s="20" t="inlineStr">
        <is>
          <t>24X330ML CAN</t>
        </is>
      </c>
      <c r="E77" s="20" t="n">
        <v>24</v>
      </c>
      <c r="F77" s="21" t="n">
        <v>589.99</v>
      </c>
      <c r="G77" s="22" t="n">
        <v>3</v>
      </c>
      <c r="H77" s="22" t="n">
        <v>5</v>
      </c>
      <c r="I77" s="22" t="n">
        <v>2</v>
      </c>
      <c r="J77" s="22" t="n">
        <v>2</v>
      </c>
      <c r="K77" s="22" t="n">
        <v>3</v>
      </c>
      <c r="L77" s="22" t="n">
        <v>1</v>
      </c>
      <c r="M77" s="15">
        <f>L77*E77</f>
        <v/>
      </c>
      <c r="N77" s="21" t="n">
        <v>534.77</v>
      </c>
      <c r="O77" s="22" t="n">
        <v>0</v>
      </c>
    </row>
    <row r="78">
      <c r="A78" s="20" t="inlineStr">
        <is>
          <t>Core</t>
        </is>
      </c>
      <c r="B78" s="20" t="inlineStr">
        <is>
          <t>10864670</t>
        </is>
      </c>
      <c r="C78" s="20" t="inlineStr">
        <is>
          <t>CIDER MANGO RASPB REKORDERLIG 330ML</t>
        </is>
      </c>
      <c r="D78" s="20" t="inlineStr">
        <is>
          <t>330ML CAN</t>
        </is>
      </c>
      <c r="E78" s="20" t="n">
        <v>1</v>
      </c>
      <c r="F78" s="21" t="n">
        <v>32.99</v>
      </c>
      <c r="G78" s="22" t="n">
        <v>406</v>
      </c>
      <c r="H78" s="22" t="n">
        <v>489</v>
      </c>
      <c r="I78" s="22" t="n">
        <v>424</v>
      </c>
      <c r="J78" s="22" t="n">
        <v>521</v>
      </c>
      <c r="K78" s="22" t="n">
        <v>474</v>
      </c>
      <c r="L78" s="22" t="n">
        <v>382</v>
      </c>
      <c r="M78" s="15">
        <f>L78*E78</f>
        <v/>
      </c>
      <c r="N78" s="21" t="n">
        <v>10857.98</v>
      </c>
      <c r="O78" s="22" t="n">
        <v>53816</v>
      </c>
    </row>
    <row r="79">
      <c r="A79" s="20" t="inlineStr">
        <is>
          <t>Core</t>
        </is>
      </c>
      <c r="B79" s="20" t="inlineStr">
        <is>
          <t>10864670</t>
        </is>
      </c>
      <c r="C79" s="20" t="inlineStr">
        <is>
          <t>CIDER MANGO RASPB REKORDERLIG 330ML</t>
        </is>
      </c>
      <c r="D79" s="20" t="inlineStr">
        <is>
          <t>4X330ML CAN</t>
        </is>
      </c>
      <c r="E79" s="20" t="n">
        <v>4</v>
      </c>
      <c r="F79" s="21" t="n">
        <v>109.99</v>
      </c>
      <c r="G79" s="22" t="n">
        <v>1096</v>
      </c>
      <c r="H79" s="22" t="n">
        <v>1197</v>
      </c>
      <c r="I79" s="22" t="n">
        <v>1179</v>
      </c>
      <c r="J79" s="22" t="n">
        <v>1264</v>
      </c>
      <c r="K79" s="22" t="n">
        <v>1346</v>
      </c>
      <c r="L79" s="22" t="n">
        <v>1360</v>
      </c>
      <c r="M79" s="15">
        <f>L79*E79</f>
        <v/>
      </c>
      <c r="N79" s="21" t="n">
        <v>114135.94</v>
      </c>
      <c r="O79" s="22" t="n">
        <v>0</v>
      </c>
    </row>
    <row r="80">
      <c r="A80" s="20" t="inlineStr">
        <is>
          <t>Core</t>
        </is>
      </c>
      <c r="B80" s="20" t="inlineStr">
        <is>
          <t>10866366</t>
        </is>
      </c>
      <c r="C80" s="20" t="inlineStr">
        <is>
          <t>CIDER VARIETY PACK REKORDERLIG 8X330ML</t>
        </is>
      </c>
      <c r="D80" s="20" t="inlineStr">
        <is>
          <t>8X330ML CAN</t>
        </is>
      </c>
      <c r="E80" s="20" t="n">
        <v>1</v>
      </c>
      <c r="F80" s="21" t="n">
        <v>179.99</v>
      </c>
      <c r="G80" s="22" t="n">
        <v>0</v>
      </c>
      <c r="H80" s="22" t="n">
        <v>0</v>
      </c>
      <c r="I80" s="22" t="n">
        <v>0</v>
      </c>
      <c r="J80" s="22" t="n">
        <v>0</v>
      </c>
      <c r="K80" s="22" t="n">
        <v>0</v>
      </c>
      <c r="L80" s="22" t="n">
        <v>0</v>
      </c>
      <c r="M80" s="15">
        <f>L80*E80</f>
        <v/>
      </c>
      <c r="N80" s="21" t="n">
        <v>0</v>
      </c>
      <c r="O80" s="22" t="n">
        <v>0</v>
      </c>
    </row>
    <row r="81">
      <c r="A81" s="20" t="inlineStr">
        <is>
          <t>Core</t>
        </is>
      </c>
      <c r="B81" s="20" t="inlineStr">
        <is>
          <t>10937405</t>
        </is>
      </c>
      <c r="C81" s="20" t="inlineStr">
        <is>
          <t>CIDER PEACH RASPB REKORDERLIG 330ML NRB</t>
        </is>
      </c>
      <c r="D81" s="20" t="inlineStr">
        <is>
          <t>24X330ML NRB</t>
        </is>
      </c>
      <c r="E81" s="20" t="n">
        <v>24</v>
      </c>
      <c r="F81" s="21" t="n">
        <v>699.99</v>
      </c>
      <c r="G81" s="22" t="n">
        <v>0</v>
      </c>
      <c r="H81" s="22" t="n">
        <v>0</v>
      </c>
      <c r="I81" s="22" t="n">
        <v>1</v>
      </c>
      <c r="J81" s="22" t="n">
        <v>0</v>
      </c>
      <c r="K81" s="22" t="n">
        <v>0</v>
      </c>
      <c r="L81" s="22" t="n">
        <v>0</v>
      </c>
      <c r="M81" s="15">
        <f>L81*E81</f>
        <v/>
      </c>
      <c r="N81" s="21" t="n">
        <v>0</v>
      </c>
      <c r="O81" s="22" t="n">
        <v>0</v>
      </c>
    </row>
    <row r="82">
      <c r="A82" s="20" t="inlineStr">
        <is>
          <t>Core</t>
        </is>
      </c>
      <c r="B82" s="20" t="inlineStr">
        <is>
          <t>10937405</t>
        </is>
      </c>
      <c r="C82" s="20" t="inlineStr">
        <is>
          <t>CIDER PEACH RASPB REKORDERLIG 330ML NRB</t>
        </is>
      </c>
      <c r="D82" s="20" t="inlineStr">
        <is>
          <t>330ML NRB</t>
        </is>
      </c>
      <c r="E82" s="20" t="n">
        <v>1</v>
      </c>
      <c r="F82" s="21" t="n">
        <v>34.99</v>
      </c>
      <c r="G82" s="22" t="n">
        <v>107</v>
      </c>
      <c r="H82" s="22" t="n">
        <v>108</v>
      </c>
      <c r="I82" s="22" t="n">
        <v>116</v>
      </c>
      <c r="J82" s="22" t="n">
        <v>96</v>
      </c>
      <c r="K82" s="22" t="n">
        <v>116</v>
      </c>
      <c r="L82" s="22" t="n">
        <v>87</v>
      </c>
      <c r="M82" s="15">
        <f>L82*E82</f>
        <v/>
      </c>
      <c r="N82" s="21" t="n">
        <v>2647.38</v>
      </c>
      <c r="O82" s="22" t="n">
        <v>36982</v>
      </c>
    </row>
    <row r="83">
      <c r="A83" s="20" t="inlineStr">
        <is>
          <t>Core</t>
        </is>
      </c>
      <c r="B83" s="20" t="inlineStr">
        <is>
          <t>10937405</t>
        </is>
      </c>
      <c r="C83" s="20" t="inlineStr">
        <is>
          <t>CIDER PEACH RASPB REKORDERLIG 330ML NRB</t>
        </is>
      </c>
      <c r="D83" s="20" t="inlineStr">
        <is>
          <t>4X330ML NRB</t>
        </is>
      </c>
      <c r="E83" s="20" t="n">
        <v>4</v>
      </c>
      <c r="F83" s="21" t="n">
        <v>129.99</v>
      </c>
      <c r="G83" s="22" t="n">
        <v>299</v>
      </c>
      <c r="H83" s="22" t="n">
        <v>296</v>
      </c>
      <c r="I83" s="22" t="n">
        <v>265</v>
      </c>
      <c r="J83" s="22" t="n">
        <v>254</v>
      </c>
      <c r="K83" s="22" t="n">
        <v>308</v>
      </c>
      <c r="L83" s="22" t="n">
        <v>223</v>
      </c>
      <c r="M83" s="15">
        <f>L83*E83</f>
        <v/>
      </c>
      <c r="N83" s="21" t="n">
        <v>21762.56</v>
      </c>
      <c r="O83" s="22" t="n">
        <v>0</v>
      </c>
    </row>
    <row r="84">
      <c r="A84" s="20" t="inlineStr">
        <is>
          <t>Core</t>
        </is>
      </c>
      <c r="B84" s="20" t="inlineStr">
        <is>
          <t>10838413</t>
        </is>
      </c>
      <c r="C84" s="20" t="inlineStr">
        <is>
          <t>GIN&amp;TONIC N-ALC BOTANICL THE DUCHES300ML</t>
        </is>
      </c>
      <c r="D84" s="20" t="inlineStr">
        <is>
          <t>24X300ML CAN</t>
        </is>
      </c>
      <c r="E84" s="20" t="n">
        <v>24</v>
      </c>
      <c r="F84" s="21" t="n">
        <v>349.99</v>
      </c>
      <c r="G84" s="22" t="n">
        <v>0</v>
      </c>
      <c r="H84" s="22" t="n">
        <v>0</v>
      </c>
      <c r="I84" s="22" t="n">
        <v>0</v>
      </c>
      <c r="J84" s="22" t="n">
        <v>0</v>
      </c>
      <c r="K84" s="22" t="n">
        <v>0</v>
      </c>
      <c r="L84" s="22" t="n">
        <v>0</v>
      </c>
      <c r="M84" s="15">
        <f>L84*E84</f>
        <v/>
      </c>
      <c r="N84" s="21" t="n">
        <v>0</v>
      </c>
      <c r="O84" s="22" t="n">
        <v>0</v>
      </c>
    </row>
    <row r="85">
      <c r="A85" s="20" t="inlineStr">
        <is>
          <t>Core</t>
        </is>
      </c>
      <c r="B85" s="20" t="inlineStr">
        <is>
          <t>10838413</t>
        </is>
      </c>
      <c r="C85" s="20" t="inlineStr">
        <is>
          <t>GIN&amp;TONIC N-ALC BOTANICL THE DUCHES300ML</t>
        </is>
      </c>
      <c r="D85" s="20" t="inlineStr">
        <is>
          <t>24X300ML CAN</t>
        </is>
      </c>
      <c r="E85" s="20" t="n">
        <v>24</v>
      </c>
      <c r="F85" s="21" t="n">
        <v>349.99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0</v>
      </c>
      <c r="M85" s="15">
        <f>L85*E85</f>
        <v/>
      </c>
      <c r="N85" s="21" t="n">
        <v>0</v>
      </c>
      <c r="O85" s="22" t="n">
        <v>0</v>
      </c>
    </row>
    <row r="86">
      <c r="A86" s="20" t="inlineStr">
        <is>
          <t>Core</t>
        </is>
      </c>
      <c r="B86" s="20" t="inlineStr">
        <is>
          <t>10838413</t>
        </is>
      </c>
      <c r="C86" s="20" t="inlineStr">
        <is>
          <t>GIN&amp;TONIC N-ALC BOTANICL THE DUCHES300ML</t>
        </is>
      </c>
      <c r="D86" s="20" t="inlineStr">
        <is>
          <t>300ML CAN</t>
        </is>
      </c>
      <c r="E86" s="20" t="n">
        <v>1</v>
      </c>
      <c r="F86" s="21" t="n">
        <v>16.99</v>
      </c>
      <c r="G86" s="22" t="n">
        <v>0</v>
      </c>
      <c r="H86" s="22" t="n">
        <v>0</v>
      </c>
      <c r="I86" s="22" t="n">
        <v>0</v>
      </c>
      <c r="J86" s="22" t="n">
        <v>0</v>
      </c>
      <c r="K86" s="22" t="n">
        <v>0</v>
      </c>
      <c r="L86" s="22" t="n">
        <v>0</v>
      </c>
      <c r="M86" s="15">
        <f>L86*E86</f>
        <v/>
      </c>
      <c r="N86" s="21" t="n">
        <v>0</v>
      </c>
      <c r="O86" s="22" t="n">
        <v>0</v>
      </c>
    </row>
    <row r="87">
      <c r="A87" s="20" t="inlineStr">
        <is>
          <t>Core</t>
        </is>
      </c>
      <c r="B87" s="20" t="inlineStr">
        <is>
          <t>10838413</t>
        </is>
      </c>
      <c r="C87" s="20" t="inlineStr">
        <is>
          <t>GIN&amp;TONIC N-ALC BOTANICL THE DUCHES300ML</t>
        </is>
      </c>
      <c r="D87" s="20" t="inlineStr">
        <is>
          <t>300ML CAN</t>
        </is>
      </c>
      <c r="E87" s="20" t="n">
        <v>1</v>
      </c>
      <c r="F87" s="21" t="n">
        <v>16.99</v>
      </c>
      <c r="G87" s="22" t="n">
        <v>0</v>
      </c>
      <c r="H87" s="22" t="n">
        <v>0</v>
      </c>
      <c r="I87" s="22" t="n">
        <v>0</v>
      </c>
      <c r="J87" s="22" t="n">
        <v>0</v>
      </c>
      <c r="K87" s="22" t="n">
        <v>0</v>
      </c>
      <c r="L87" s="22" t="n">
        <v>0</v>
      </c>
      <c r="M87" s="15">
        <f>L87*E87</f>
        <v/>
      </c>
      <c r="N87" s="21" t="n">
        <v>0</v>
      </c>
      <c r="O87" s="22" t="n">
        <v>0</v>
      </c>
    </row>
    <row r="88">
      <c r="A88" s="20" t="inlineStr">
        <is>
          <t>Core</t>
        </is>
      </c>
      <c r="B88" s="20" t="inlineStr">
        <is>
          <t>10838413</t>
        </is>
      </c>
      <c r="C88" s="20" t="inlineStr">
        <is>
          <t>GIN&amp;TONIC N-ALC BOTANICL THE DUCHES300ML</t>
        </is>
      </c>
      <c r="D88" s="20" t="inlineStr">
        <is>
          <t>4X300ML CAN</t>
        </is>
      </c>
      <c r="E88" s="20" t="n">
        <v>4</v>
      </c>
      <c r="F88" s="21" t="n">
        <v>64.98999999999999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15">
        <f>L88*E88</f>
        <v/>
      </c>
      <c r="N88" s="21" t="n">
        <v>0</v>
      </c>
      <c r="O88" s="22" t="n">
        <v>0</v>
      </c>
    </row>
    <row r="89">
      <c r="A89" s="20" t="inlineStr">
        <is>
          <t>Core</t>
        </is>
      </c>
      <c r="B89" s="20" t="inlineStr">
        <is>
          <t>10838413</t>
        </is>
      </c>
      <c r="C89" s="20" t="inlineStr">
        <is>
          <t>GIN&amp;TONIC N-ALC BOTANICL THE DUCHES300ML</t>
        </is>
      </c>
      <c r="D89" s="20" t="inlineStr">
        <is>
          <t>4X300ML CAN</t>
        </is>
      </c>
      <c r="E89" s="20" t="n">
        <v>4</v>
      </c>
      <c r="F89" s="21" t="n">
        <v>64.98999999999999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2" t="n">
        <v>0</v>
      </c>
      <c r="M89" s="15">
        <f>L89*E89</f>
        <v/>
      </c>
      <c r="N89" s="21" t="n">
        <v>0</v>
      </c>
      <c r="O89" s="22" t="n">
        <v>0</v>
      </c>
    </row>
    <row r="90">
      <c r="A90" s="20" t="inlineStr">
        <is>
          <t>Core</t>
        </is>
      </c>
      <c r="B90" s="20" t="inlineStr">
        <is>
          <t>10838414</t>
        </is>
      </c>
      <c r="C90" s="20" t="inlineStr">
        <is>
          <t>GIN&amp;TONIC N-ALC FLORAL THE DUCHESS 300ML</t>
        </is>
      </c>
      <c r="D90" s="20" t="inlineStr">
        <is>
          <t>24X300ML CAN</t>
        </is>
      </c>
      <c r="E90" s="20" t="n">
        <v>24</v>
      </c>
      <c r="F90" s="21" t="n">
        <v>349.99</v>
      </c>
      <c r="G90" s="22" t="n">
        <v>0</v>
      </c>
      <c r="H90" s="22" t="n">
        <v>0</v>
      </c>
      <c r="I90" s="22" t="n">
        <v>0</v>
      </c>
      <c r="J90" s="22" t="n">
        <v>0</v>
      </c>
      <c r="K90" s="22" t="n">
        <v>0</v>
      </c>
      <c r="L90" s="22" t="n">
        <v>0</v>
      </c>
      <c r="M90" s="15">
        <f>L90*E90</f>
        <v/>
      </c>
      <c r="N90" s="21" t="n">
        <v>0</v>
      </c>
      <c r="O90" s="22" t="n">
        <v>0</v>
      </c>
    </row>
    <row r="91">
      <c r="A91" s="20" t="inlineStr">
        <is>
          <t>Core</t>
        </is>
      </c>
      <c r="B91" s="20" t="inlineStr">
        <is>
          <t>10838414</t>
        </is>
      </c>
      <c r="C91" s="20" t="inlineStr">
        <is>
          <t>GIN&amp;TONIC N-ALC FLORAL THE DUCHESS 300ML</t>
        </is>
      </c>
      <c r="D91" s="20" t="inlineStr">
        <is>
          <t>24X300ML CAN</t>
        </is>
      </c>
      <c r="E91" s="20" t="n">
        <v>24</v>
      </c>
      <c r="F91" s="21" t="n">
        <v>349.99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0</v>
      </c>
      <c r="M91" s="15">
        <f>L91*E91</f>
        <v/>
      </c>
      <c r="N91" s="21" t="n">
        <v>0</v>
      </c>
      <c r="O91" s="22" t="n">
        <v>0</v>
      </c>
    </row>
    <row r="92">
      <c r="A92" s="20" t="inlineStr">
        <is>
          <t>Core</t>
        </is>
      </c>
      <c r="B92" s="20" t="inlineStr">
        <is>
          <t>10838414</t>
        </is>
      </c>
      <c r="C92" s="20" t="inlineStr">
        <is>
          <t>GIN&amp;TONIC N-ALC FLORAL THE DUCHESS 300ML</t>
        </is>
      </c>
      <c r="D92" s="20" t="inlineStr">
        <is>
          <t>300ML CAN</t>
        </is>
      </c>
      <c r="E92" s="20" t="n">
        <v>1</v>
      </c>
      <c r="F92" s="21" t="n">
        <v>16.99</v>
      </c>
      <c r="G92" s="22" t="n">
        <v>0</v>
      </c>
      <c r="H92" s="22" t="n">
        <v>0</v>
      </c>
      <c r="I92" s="22" t="n">
        <v>0</v>
      </c>
      <c r="J92" s="22" t="n">
        <v>0</v>
      </c>
      <c r="K92" s="22" t="n">
        <v>0</v>
      </c>
      <c r="L92" s="22" t="n">
        <v>0</v>
      </c>
      <c r="M92" s="15">
        <f>L92*E92</f>
        <v/>
      </c>
      <c r="N92" s="21" t="n">
        <v>0</v>
      </c>
      <c r="O92" s="22" t="n">
        <v>0</v>
      </c>
    </row>
    <row r="93">
      <c r="A93" s="20" t="inlineStr">
        <is>
          <t>Core</t>
        </is>
      </c>
      <c r="B93" s="20" t="inlineStr">
        <is>
          <t>10838414</t>
        </is>
      </c>
      <c r="C93" s="20" t="inlineStr">
        <is>
          <t>GIN&amp;TONIC N-ALC FLORAL THE DUCHESS 300ML</t>
        </is>
      </c>
      <c r="D93" s="20" t="inlineStr">
        <is>
          <t>300ML CAN</t>
        </is>
      </c>
      <c r="E93" s="20" t="n">
        <v>1</v>
      </c>
      <c r="F93" s="21" t="n">
        <v>16.99</v>
      </c>
      <c r="G93" s="22" t="n">
        <v>0</v>
      </c>
      <c r="H93" s="22" t="n">
        <v>0</v>
      </c>
      <c r="I93" s="22" t="n">
        <v>0</v>
      </c>
      <c r="J93" s="22" t="n">
        <v>0</v>
      </c>
      <c r="K93" s="22" t="n">
        <v>0</v>
      </c>
      <c r="L93" s="22" t="n">
        <v>0</v>
      </c>
      <c r="M93" s="15">
        <f>L93*E93</f>
        <v/>
      </c>
      <c r="N93" s="21" t="n">
        <v>0</v>
      </c>
      <c r="O93" s="22" t="n">
        <v>0</v>
      </c>
    </row>
    <row r="94">
      <c r="A94" s="20" t="inlineStr">
        <is>
          <t>Core</t>
        </is>
      </c>
      <c r="B94" s="20" t="inlineStr">
        <is>
          <t>10838414</t>
        </is>
      </c>
      <c r="C94" s="20" t="inlineStr">
        <is>
          <t>GIN&amp;TONIC N-ALC FLORAL THE DUCHESS 300ML</t>
        </is>
      </c>
      <c r="D94" s="20" t="inlineStr">
        <is>
          <t>4X300ML CAN</t>
        </is>
      </c>
      <c r="E94" s="20" t="n">
        <v>4</v>
      </c>
      <c r="F94" s="21" t="n">
        <v>64.98999999999999</v>
      </c>
      <c r="G94" s="22" t="n">
        <v>0</v>
      </c>
      <c r="H94" s="22" t="n">
        <v>0</v>
      </c>
      <c r="I94" s="22" t="n">
        <v>0</v>
      </c>
      <c r="J94" s="22" t="n">
        <v>0</v>
      </c>
      <c r="K94" s="22" t="n">
        <v>0</v>
      </c>
      <c r="L94" s="22" t="n">
        <v>0</v>
      </c>
      <c r="M94" s="15">
        <f>L94*E94</f>
        <v/>
      </c>
      <c r="N94" s="21" t="n">
        <v>0</v>
      </c>
      <c r="O94" s="22" t="n">
        <v>0</v>
      </c>
    </row>
    <row r="95">
      <c r="A95" s="20" t="inlineStr">
        <is>
          <t>Core</t>
        </is>
      </c>
      <c r="B95" s="20" t="inlineStr">
        <is>
          <t>10838414</t>
        </is>
      </c>
      <c r="C95" s="20" t="inlineStr">
        <is>
          <t>GIN&amp;TONIC N-ALC FLORAL THE DUCHESS 300ML</t>
        </is>
      </c>
      <c r="D95" s="20" t="inlineStr">
        <is>
          <t>4X300ML CAN</t>
        </is>
      </c>
      <c r="E95" s="20" t="n">
        <v>4</v>
      </c>
      <c r="F95" s="21" t="n">
        <v>64.98999999999999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2" t="n">
        <v>0</v>
      </c>
      <c r="M95" s="15">
        <f>L95*E95</f>
        <v/>
      </c>
      <c r="N95" s="21" t="n">
        <v>0</v>
      </c>
      <c r="O95" s="22" t="n">
        <v>0</v>
      </c>
    </row>
    <row r="96">
      <c r="A96" s="20" t="inlineStr">
        <is>
          <t>Core</t>
        </is>
      </c>
      <c r="B96" s="20" t="inlineStr">
        <is>
          <t>10934493</t>
        </is>
      </c>
      <c r="C96" s="20" t="inlineStr">
        <is>
          <t>CIDER NON-ALC STRWB LME REKORDELIG 330ML</t>
        </is>
      </c>
      <c r="D96" s="20" t="inlineStr">
        <is>
          <t>24S</t>
        </is>
      </c>
      <c r="E96" s="20" t="n">
        <v>24</v>
      </c>
      <c r="F96" s="21" t="n">
        <v>499.99</v>
      </c>
      <c r="G96" s="22" t="n">
        <v>0</v>
      </c>
      <c r="H96" s="22" t="n">
        <v>0</v>
      </c>
      <c r="I96" s="22" t="n">
        <v>0</v>
      </c>
      <c r="J96" s="22" t="n">
        <v>0</v>
      </c>
      <c r="K96" s="22" t="n">
        <v>1</v>
      </c>
      <c r="L96" s="22" t="n">
        <v>3</v>
      </c>
      <c r="M96" s="15">
        <f>L96*E96</f>
        <v/>
      </c>
      <c r="N96" s="21" t="n">
        <v>1304.31</v>
      </c>
      <c r="O96" s="22" t="n">
        <v>0</v>
      </c>
    </row>
    <row r="97">
      <c r="A97" s="20" t="inlineStr">
        <is>
          <t>Core</t>
        </is>
      </c>
      <c r="B97" s="20" t="inlineStr">
        <is>
          <t>10934493</t>
        </is>
      </c>
      <c r="C97" s="20" t="inlineStr">
        <is>
          <t>CIDER NON-ALC STRWB LME REKORDELIG 330ML</t>
        </is>
      </c>
      <c r="D97" s="20" t="inlineStr">
        <is>
          <t>330ML CAN</t>
        </is>
      </c>
      <c r="E97" s="20" t="n">
        <v>1</v>
      </c>
      <c r="F97" s="21" t="n">
        <v>24.99</v>
      </c>
      <c r="G97" s="22" t="n">
        <v>226</v>
      </c>
      <c r="H97" s="22" t="n">
        <v>206</v>
      </c>
      <c r="I97" s="22" t="n">
        <v>202</v>
      </c>
      <c r="J97" s="22" t="n">
        <v>256</v>
      </c>
      <c r="K97" s="22" t="n">
        <v>243</v>
      </c>
      <c r="L97" s="22" t="n">
        <v>204</v>
      </c>
      <c r="M97" s="15">
        <f>L97*E97</f>
        <v/>
      </c>
      <c r="N97" s="21" t="n">
        <v>4432.92</v>
      </c>
      <c r="O97" s="22" t="n">
        <v>8490</v>
      </c>
    </row>
    <row r="98">
      <c r="A98" s="20" t="inlineStr">
        <is>
          <t>Core</t>
        </is>
      </c>
      <c r="B98" s="20" t="inlineStr">
        <is>
          <t>10934493</t>
        </is>
      </c>
      <c r="C98" s="20" t="inlineStr">
        <is>
          <t>CIDER NON-ALC STRWB LME REKORDELIG 330ML</t>
        </is>
      </c>
      <c r="D98" s="20" t="inlineStr">
        <is>
          <t>4S</t>
        </is>
      </c>
      <c r="E98" s="20" t="n">
        <v>4</v>
      </c>
      <c r="F98" s="21" t="n">
        <v>89.98999999999999</v>
      </c>
      <c r="G98" s="22" t="n">
        <v>526</v>
      </c>
      <c r="H98" s="22" t="n">
        <v>585</v>
      </c>
      <c r="I98" s="22" t="n">
        <v>553</v>
      </c>
      <c r="J98" s="22" t="n">
        <v>658</v>
      </c>
      <c r="K98" s="22" t="n">
        <v>659</v>
      </c>
      <c r="L98" s="22" t="n">
        <v>549</v>
      </c>
      <c r="M98" s="15">
        <f>L98*E98</f>
        <v/>
      </c>
      <c r="N98" s="21" t="n">
        <v>42943.72</v>
      </c>
      <c r="O98" s="22" t="n">
        <v>0</v>
      </c>
    </row>
    <row r="99">
      <c r="A99" s="20" t="inlineStr">
        <is>
          <t>Patch</t>
        </is>
      </c>
      <c r="B99" s="20" t="inlineStr">
        <is>
          <t>10938912</t>
        </is>
      </c>
      <c r="C99" s="20" t="inlineStr">
        <is>
          <t>COCKTAIL PATCH 150ML, MARGARITA</t>
        </is>
      </c>
      <c r="D99" s="20" t="inlineStr">
        <is>
          <t>150ML CAN</t>
        </is>
      </c>
      <c r="E99" s="20" t="n">
        <v>1</v>
      </c>
      <c r="F99" s="21" t="n">
        <v>49.99</v>
      </c>
      <c r="G99" s="22" t="n">
        <v>989</v>
      </c>
      <c r="H99" s="22" t="n">
        <v>1149</v>
      </c>
      <c r="I99" s="22" t="n">
        <v>1388</v>
      </c>
      <c r="J99" s="22" t="n">
        <v>1658</v>
      </c>
      <c r="K99" s="22" t="n">
        <v>1308</v>
      </c>
      <c r="L99" s="22" t="n">
        <v>1005</v>
      </c>
      <c r="M99" s="15">
        <f>L99*E99</f>
        <v/>
      </c>
      <c r="N99" s="21" t="n">
        <v>43687.35</v>
      </c>
      <c r="O99" s="22" t="n">
        <v>44143</v>
      </c>
    </row>
    <row r="100">
      <c r="A100" s="20" t="inlineStr">
        <is>
          <t>Patch</t>
        </is>
      </c>
      <c r="B100" s="20" t="inlineStr">
        <is>
          <t>10938912</t>
        </is>
      </c>
      <c r="C100" s="20" t="inlineStr">
        <is>
          <t>COCKTAIL PATCH 150ML, MARGARITA</t>
        </is>
      </c>
      <c r="D100" s="20" t="inlineStr">
        <is>
          <t>24X150ML CAN</t>
        </is>
      </c>
      <c r="E100" s="20" t="n">
        <v>24</v>
      </c>
      <c r="F100" s="21" t="n">
        <v>929.99</v>
      </c>
      <c r="G100" s="22" t="n">
        <v>21</v>
      </c>
      <c r="H100" s="22" t="n">
        <v>17</v>
      </c>
      <c r="I100" s="22" t="n">
        <v>17</v>
      </c>
      <c r="J100" s="22" t="n">
        <v>15</v>
      </c>
      <c r="K100" s="22" t="n">
        <v>12</v>
      </c>
      <c r="L100" s="22" t="n">
        <v>13</v>
      </c>
      <c r="M100" s="15">
        <f>L100*E100</f>
        <v/>
      </c>
      <c r="N100" s="21" t="n">
        <v>10512.95</v>
      </c>
      <c r="O100" s="22" t="n">
        <v>0</v>
      </c>
    </row>
    <row r="101">
      <c r="A101" s="20" t="inlineStr">
        <is>
          <t>Patch</t>
        </is>
      </c>
      <c r="B101" s="20" t="inlineStr">
        <is>
          <t>10938912</t>
        </is>
      </c>
      <c r="C101" s="20" t="inlineStr">
        <is>
          <t>COCKTAIL PATCH 150ML, MARGARITA</t>
        </is>
      </c>
      <c r="D101" s="20" t="inlineStr">
        <is>
          <t>4X150ML CAN</t>
        </is>
      </c>
      <c r="E101" s="20" t="n">
        <v>4</v>
      </c>
      <c r="F101" s="21" t="n">
        <v>159.99</v>
      </c>
      <c r="G101" s="22" t="n">
        <v>2600</v>
      </c>
      <c r="H101" s="22" t="n">
        <v>2851</v>
      </c>
      <c r="I101" s="22" t="n">
        <v>4055</v>
      </c>
      <c r="J101" s="22" t="n">
        <v>4338</v>
      </c>
      <c r="K101" s="22" t="n">
        <v>3941</v>
      </c>
      <c r="L101" s="22" t="n">
        <v>2303</v>
      </c>
      <c r="M101" s="15">
        <f>L101*E101</f>
        <v/>
      </c>
      <c r="N101" s="21" t="n">
        <v>320308.23</v>
      </c>
      <c r="O101" s="22" t="n">
        <v>0</v>
      </c>
    </row>
    <row r="102">
      <c r="A102" s="20" t="inlineStr">
        <is>
          <t>Patch</t>
        </is>
      </c>
      <c r="B102" s="20" t="inlineStr">
        <is>
          <t>10938913</t>
        </is>
      </c>
      <c r="C102" s="20" t="inlineStr">
        <is>
          <t>COCKTAIL PATCH 150ML, PALOMA</t>
        </is>
      </c>
      <c r="D102" s="20" t="inlineStr">
        <is>
          <t>150ML CAN</t>
        </is>
      </c>
      <c r="E102" s="20" t="n">
        <v>1</v>
      </c>
      <c r="F102" s="21" t="n">
        <v>49.99</v>
      </c>
      <c r="G102" s="22" t="n">
        <v>776</v>
      </c>
      <c r="H102" s="22" t="n">
        <v>919</v>
      </c>
      <c r="I102" s="22" t="n">
        <v>1158</v>
      </c>
      <c r="J102" s="22" t="n">
        <v>1316</v>
      </c>
      <c r="K102" s="22" t="n">
        <v>1223</v>
      </c>
      <c r="L102" s="22" t="n">
        <v>1067</v>
      </c>
      <c r="M102" s="15">
        <f>L102*E102</f>
        <v/>
      </c>
      <c r="N102" s="21" t="n">
        <v>46382.49</v>
      </c>
      <c r="O102" s="22" t="n">
        <v>45873</v>
      </c>
    </row>
    <row r="103">
      <c r="A103" s="20" t="inlineStr">
        <is>
          <t>Patch</t>
        </is>
      </c>
      <c r="B103" s="20" t="inlineStr">
        <is>
          <t>10938913</t>
        </is>
      </c>
      <c r="C103" s="20" t="inlineStr">
        <is>
          <t>COCKTAIL PATCH 150ML, PALOMA</t>
        </is>
      </c>
      <c r="D103" s="20" t="inlineStr">
        <is>
          <t>24X150ML CAN</t>
        </is>
      </c>
      <c r="E103" s="20" t="n">
        <v>24</v>
      </c>
      <c r="F103" s="21" t="n">
        <v>929.99</v>
      </c>
      <c r="G103" s="22" t="n">
        <v>2</v>
      </c>
      <c r="H103" s="22" t="n">
        <v>10</v>
      </c>
      <c r="I103" s="22" t="n">
        <v>4</v>
      </c>
      <c r="J103" s="22" t="n">
        <v>4</v>
      </c>
      <c r="K103" s="22" t="n">
        <v>7</v>
      </c>
      <c r="L103" s="22" t="n">
        <v>15</v>
      </c>
      <c r="M103" s="15">
        <f>L103*E103</f>
        <v/>
      </c>
      <c r="N103" s="21" t="n">
        <v>12130.33</v>
      </c>
      <c r="O103" s="22" t="n">
        <v>0</v>
      </c>
    </row>
    <row r="104">
      <c r="A104" s="20" t="inlineStr">
        <is>
          <t>Patch</t>
        </is>
      </c>
      <c r="B104" s="20" t="inlineStr">
        <is>
          <t>10938913</t>
        </is>
      </c>
      <c r="C104" s="20" t="inlineStr">
        <is>
          <t>COCKTAIL PATCH 150ML, PALOMA</t>
        </is>
      </c>
      <c r="D104" s="20" t="inlineStr">
        <is>
          <t>4X150ML CAN</t>
        </is>
      </c>
      <c r="E104" s="20" t="n">
        <v>4</v>
      </c>
      <c r="F104" s="21" t="n">
        <v>159.99</v>
      </c>
      <c r="G104" s="22" t="n">
        <v>1233</v>
      </c>
      <c r="H104" s="22" t="n">
        <v>1458</v>
      </c>
      <c r="I104" s="22" t="n">
        <v>2248</v>
      </c>
      <c r="J104" s="22" t="n">
        <v>2222</v>
      </c>
      <c r="K104" s="22" t="n">
        <v>2440</v>
      </c>
      <c r="L104" s="22" t="n">
        <v>1788</v>
      </c>
      <c r="M104" s="15">
        <f>L104*E104</f>
        <v/>
      </c>
      <c r="N104" s="21" t="n">
        <v>248630.03</v>
      </c>
      <c r="O104" s="22" t="n">
        <v>0</v>
      </c>
    </row>
    <row r="105">
      <c r="A105" s="20" t="inlineStr">
        <is>
          <t>Patch</t>
        </is>
      </c>
      <c r="B105" s="20" t="inlineStr">
        <is>
          <t>10938914</t>
        </is>
      </c>
      <c r="C105" s="20" t="inlineStr">
        <is>
          <t>COCKTAIL PATCH 150ML, MOJITO</t>
        </is>
      </c>
      <c r="D105" s="20" t="inlineStr">
        <is>
          <t>150ML CAN</t>
        </is>
      </c>
      <c r="E105" s="20" t="n">
        <v>1</v>
      </c>
      <c r="F105" s="21" t="n">
        <v>49.99</v>
      </c>
      <c r="G105" s="22" t="n">
        <v>541</v>
      </c>
      <c r="H105" s="22" t="n">
        <v>645</v>
      </c>
      <c r="I105" s="22" t="n">
        <v>814</v>
      </c>
      <c r="J105" s="22" t="n">
        <v>876</v>
      </c>
      <c r="K105" s="22" t="n">
        <v>866</v>
      </c>
      <c r="L105" s="22" t="n">
        <v>716</v>
      </c>
      <c r="M105" s="15">
        <f>L105*E105</f>
        <v/>
      </c>
      <c r="N105" s="21" t="n">
        <v>31124.52</v>
      </c>
      <c r="O105" s="22" t="n">
        <v>29549</v>
      </c>
    </row>
    <row r="106">
      <c r="A106" s="20" t="inlineStr">
        <is>
          <t>Patch</t>
        </is>
      </c>
      <c r="B106" s="20" t="inlineStr">
        <is>
          <t>10938914</t>
        </is>
      </c>
      <c r="C106" s="20" t="inlineStr">
        <is>
          <t>COCKTAIL PATCH 150ML, MOJITO</t>
        </is>
      </c>
      <c r="D106" s="20" t="inlineStr">
        <is>
          <t>24X150ML CAN</t>
        </is>
      </c>
      <c r="E106" s="20" t="n">
        <v>24</v>
      </c>
      <c r="F106" s="21" t="n">
        <v>929.99</v>
      </c>
      <c r="G106" s="22" t="n">
        <v>3</v>
      </c>
      <c r="H106" s="22" t="n">
        <v>6</v>
      </c>
      <c r="I106" s="22" t="n">
        <v>4</v>
      </c>
      <c r="J106" s="22" t="n">
        <v>0</v>
      </c>
      <c r="K106" s="22" t="n">
        <v>9</v>
      </c>
      <c r="L106" s="22" t="n">
        <v>8</v>
      </c>
      <c r="M106" s="15">
        <f>L106*E106</f>
        <v/>
      </c>
      <c r="N106" s="21" t="n">
        <v>6469.5</v>
      </c>
      <c r="O106" s="22" t="n">
        <v>0</v>
      </c>
    </row>
    <row r="107">
      <c r="A107" s="20" t="inlineStr">
        <is>
          <t>Patch</t>
        </is>
      </c>
      <c r="B107" s="20" t="inlineStr">
        <is>
          <t>10938914</t>
        </is>
      </c>
      <c r="C107" s="20" t="inlineStr">
        <is>
          <t>COCKTAIL PATCH 150ML, MOJITO</t>
        </is>
      </c>
      <c r="D107" s="20" t="inlineStr">
        <is>
          <t>4X150ML CAN</t>
        </is>
      </c>
      <c r="E107" s="20" t="n">
        <v>4</v>
      </c>
      <c r="F107" s="21" t="n">
        <v>159.99</v>
      </c>
      <c r="G107" s="22" t="n">
        <v>728</v>
      </c>
      <c r="H107" s="22" t="n">
        <v>868</v>
      </c>
      <c r="I107" s="22" t="n">
        <v>1447</v>
      </c>
      <c r="J107" s="22" t="n">
        <v>1380</v>
      </c>
      <c r="K107" s="22" t="n">
        <v>1582</v>
      </c>
      <c r="L107" s="22" t="n">
        <v>1160</v>
      </c>
      <c r="M107" s="15">
        <f>L107*E107</f>
        <v/>
      </c>
      <c r="N107" s="21" t="n">
        <v>161262.78</v>
      </c>
      <c r="O107" s="22" t="n">
        <v>0</v>
      </c>
    </row>
    <row r="108">
      <c r="A108" s="20" t="inlineStr">
        <is>
          <t>Patch</t>
        </is>
      </c>
      <c r="B108" s="20" t="inlineStr">
        <is>
          <t>10938915</t>
        </is>
      </c>
      <c r="C108" s="20" t="inlineStr">
        <is>
          <t>COCKTAIL PATCH 150ML, ESPRES MARTINI</t>
        </is>
      </c>
      <c r="D108" s="20" t="inlineStr">
        <is>
          <t>150ML CAN</t>
        </is>
      </c>
      <c r="E108" s="20" t="n">
        <v>1</v>
      </c>
      <c r="F108" s="21" t="n">
        <v>49.99</v>
      </c>
      <c r="G108" s="22" t="n">
        <v>428</v>
      </c>
      <c r="H108" s="22" t="n">
        <v>510</v>
      </c>
      <c r="I108" s="22" t="n">
        <v>662</v>
      </c>
      <c r="J108" s="22" t="n">
        <v>636</v>
      </c>
      <c r="K108" s="22" t="n">
        <v>699</v>
      </c>
      <c r="L108" s="22" t="n">
        <v>567</v>
      </c>
      <c r="M108" s="15">
        <f>L108*E108</f>
        <v/>
      </c>
      <c r="N108" s="21" t="n">
        <v>24647.49</v>
      </c>
      <c r="O108" s="22" t="n">
        <v>20777</v>
      </c>
    </row>
    <row r="109">
      <c r="A109" s="20" t="inlineStr">
        <is>
          <t>Patch</t>
        </is>
      </c>
      <c r="B109" s="20" t="inlineStr">
        <is>
          <t>10938915</t>
        </is>
      </c>
      <c r="C109" s="20" t="inlineStr">
        <is>
          <t>COCKTAIL PATCH 150ML, ESPRES MARTINI</t>
        </is>
      </c>
      <c r="D109" s="20" t="inlineStr">
        <is>
          <t>24X150ML CAN</t>
        </is>
      </c>
      <c r="E109" s="20" t="n">
        <v>24</v>
      </c>
      <c r="F109" s="21" t="n">
        <v>929.99</v>
      </c>
      <c r="G109" s="22" t="n">
        <v>1</v>
      </c>
      <c r="H109" s="22" t="n">
        <v>0</v>
      </c>
      <c r="I109" s="22" t="n">
        <v>4</v>
      </c>
      <c r="J109" s="22" t="n">
        <v>0</v>
      </c>
      <c r="K109" s="22" t="n">
        <v>3</v>
      </c>
      <c r="L109" s="22" t="n">
        <v>0</v>
      </c>
      <c r="M109" s="15">
        <f>L109*E109</f>
        <v/>
      </c>
      <c r="N109" s="21" t="n">
        <v>0</v>
      </c>
      <c r="O109" s="22" t="n">
        <v>0</v>
      </c>
    </row>
    <row r="110">
      <c r="A110" s="20" t="inlineStr">
        <is>
          <t>Patch</t>
        </is>
      </c>
      <c r="B110" s="20" t="inlineStr">
        <is>
          <t>10938915</t>
        </is>
      </c>
      <c r="C110" s="20" t="inlineStr">
        <is>
          <t>COCKTAIL PATCH 150ML, ESPRES MARTINI</t>
        </is>
      </c>
      <c r="D110" s="20" t="inlineStr">
        <is>
          <t>4X150ML CAN</t>
        </is>
      </c>
      <c r="E110" s="20" t="n">
        <v>4</v>
      </c>
      <c r="F110" s="21" t="n">
        <v>159.99</v>
      </c>
      <c r="G110" s="22" t="n">
        <v>218</v>
      </c>
      <c r="H110" s="22" t="n">
        <v>238</v>
      </c>
      <c r="I110" s="22" t="n">
        <v>376</v>
      </c>
      <c r="J110" s="22" t="n">
        <v>398</v>
      </c>
      <c r="K110" s="22" t="n">
        <v>385</v>
      </c>
      <c r="L110" s="22" t="n">
        <v>313</v>
      </c>
      <c r="M110" s="15">
        <f>L110*E110</f>
        <v/>
      </c>
      <c r="N110" s="21" t="n">
        <v>43544.56</v>
      </c>
      <c r="O110" s="22" t="n">
        <v>0</v>
      </c>
    </row>
    <row r="111">
      <c r="A111" s="20" t="inlineStr">
        <is>
          <t>Patch</t>
        </is>
      </c>
      <c r="B111" s="20" t="inlineStr">
        <is>
          <t>10938916</t>
        </is>
      </c>
      <c r="C111" s="20" t="inlineStr">
        <is>
          <t>COCKTAIL PATCH 150ML, NEGRONI</t>
        </is>
      </c>
      <c r="D111" s="20" t="inlineStr">
        <is>
          <t>150ML CAN</t>
        </is>
      </c>
      <c r="E111" s="20" t="n">
        <v>1</v>
      </c>
      <c r="F111" s="21" t="n">
        <v>49.99</v>
      </c>
      <c r="G111" s="22" t="n">
        <v>11</v>
      </c>
      <c r="H111" s="22" t="n">
        <v>8</v>
      </c>
      <c r="I111" s="22" t="n">
        <v>12</v>
      </c>
      <c r="J111" s="22" t="n">
        <v>10</v>
      </c>
      <c r="K111" s="22" t="n">
        <v>12</v>
      </c>
      <c r="L111" s="22" t="n">
        <v>5</v>
      </c>
      <c r="M111" s="15">
        <f>L111*E111</f>
        <v/>
      </c>
      <c r="N111" s="21" t="n">
        <v>217.35</v>
      </c>
      <c r="O111" s="22" t="n">
        <v>743</v>
      </c>
    </row>
    <row r="112">
      <c r="A112" s="20" t="inlineStr">
        <is>
          <t>Patch</t>
        </is>
      </c>
      <c r="B112" s="20" t="inlineStr">
        <is>
          <t>10938916</t>
        </is>
      </c>
      <c r="C112" s="20" t="inlineStr">
        <is>
          <t>COCKTAIL PATCH 150ML, NEGRONI</t>
        </is>
      </c>
      <c r="D112" s="20" t="inlineStr">
        <is>
          <t>150ML CAN</t>
        </is>
      </c>
      <c r="E112" s="20" t="n">
        <v>1</v>
      </c>
      <c r="F112" s="21" t="n">
        <v>49.99</v>
      </c>
      <c r="G112" s="22" t="n">
        <v>8</v>
      </c>
      <c r="H112" s="22" t="n">
        <v>1</v>
      </c>
      <c r="I112" s="22" t="n">
        <v>6</v>
      </c>
      <c r="J112" s="22" t="n">
        <v>18</v>
      </c>
      <c r="K112" s="22" t="n">
        <v>8</v>
      </c>
      <c r="L112" s="22" t="n">
        <v>3</v>
      </c>
      <c r="M112" s="15">
        <f>L112*E112</f>
        <v/>
      </c>
      <c r="N112" s="21" t="n">
        <v>130.41</v>
      </c>
      <c r="O112" s="22" t="n">
        <v>936</v>
      </c>
    </row>
    <row r="113">
      <c r="A113" s="20" t="inlineStr">
        <is>
          <t>Patch</t>
        </is>
      </c>
      <c r="B113" s="20" t="inlineStr">
        <is>
          <t>10938916</t>
        </is>
      </c>
      <c r="C113" s="20" t="inlineStr">
        <is>
          <t>COCKTAIL PATCH 150ML, NEGRONI</t>
        </is>
      </c>
      <c r="D113" s="20" t="inlineStr">
        <is>
          <t>150ML CAN</t>
        </is>
      </c>
      <c r="E113" s="20" t="n">
        <v>1</v>
      </c>
      <c r="F113" s="21" t="n">
        <v>49.99</v>
      </c>
      <c r="G113" s="22" t="n">
        <v>3</v>
      </c>
      <c r="H113" s="22" t="n">
        <v>8</v>
      </c>
      <c r="I113" s="22" t="n">
        <v>8</v>
      </c>
      <c r="J113" s="22" t="n">
        <v>7</v>
      </c>
      <c r="K113" s="22" t="n">
        <v>9</v>
      </c>
      <c r="L113" s="22" t="n">
        <v>3</v>
      </c>
      <c r="M113" s="15">
        <f>L113*E113</f>
        <v/>
      </c>
      <c r="N113" s="21" t="n">
        <v>130.41</v>
      </c>
      <c r="O113" s="22" t="n">
        <v>682</v>
      </c>
    </row>
    <row r="114">
      <c r="A114" s="20" t="inlineStr">
        <is>
          <t>Patch</t>
        </is>
      </c>
      <c r="B114" s="20" t="inlineStr">
        <is>
          <t>10938916</t>
        </is>
      </c>
      <c r="C114" s="20" t="inlineStr">
        <is>
          <t>COCKTAIL PATCH 150ML, NEGRONI</t>
        </is>
      </c>
      <c r="D114" s="20" t="inlineStr">
        <is>
          <t>24X150ML CAN</t>
        </is>
      </c>
      <c r="E114" s="20" t="n">
        <v>24</v>
      </c>
      <c r="F114" s="21" t="n">
        <v>929.99</v>
      </c>
      <c r="G114" s="22" t="n">
        <v>0</v>
      </c>
      <c r="H114" s="22" t="n">
        <v>0</v>
      </c>
      <c r="I114" s="22" t="n">
        <v>1</v>
      </c>
      <c r="J114" s="22" t="n">
        <v>0</v>
      </c>
      <c r="K114" s="22" t="n">
        <v>1</v>
      </c>
      <c r="L114" s="22" t="n">
        <v>0</v>
      </c>
      <c r="M114" s="15">
        <f>L114*E114</f>
        <v/>
      </c>
      <c r="N114" s="21" t="n">
        <v>0</v>
      </c>
      <c r="O114" s="22" t="n">
        <v>0</v>
      </c>
    </row>
    <row r="115">
      <c r="A115" s="20" t="inlineStr">
        <is>
          <t>Patch</t>
        </is>
      </c>
      <c r="B115" s="20" t="inlineStr">
        <is>
          <t>10938916</t>
        </is>
      </c>
      <c r="C115" s="20" t="inlineStr">
        <is>
          <t>COCKTAIL PATCH 150ML, NEGRONI</t>
        </is>
      </c>
      <c r="D115" s="20" t="inlineStr">
        <is>
          <t>24X150ML CAN</t>
        </is>
      </c>
      <c r="E115" s="20" t="n">
        <v>24</v>
      </c>
      <c r="F115" s="21" t="n">
        <v>929.99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15">
        <f>L115*E115</f>
        <v/>
      </c>
      <c r="N115" s="21" t="n">
        <v>0</v>
      </c>
      <c r="O115" s="22" t="n">
        <v>0</v>
      </c>
    </row>
    <row r="116">
      <c r="A116" s="20" t="inlineStr">
        <is>
          <t>Patch</t>
        </is>
      </c>
      <c r="B116" s="20" t="inlineStr">
        <is>
          <t>10938916</t>
        </is>
      </c>
      <c r="C116" s="20" t="inlineStr">
        <is>
          <t>COCKTAIL PATCH 150ML, NEGRONI</t>
        </is>
      </c>
      <c r="D116" s="20" t="inlineStr">
        <is>
          <t>24X150ML CAN</t>
        </is>
      </c>
      <c r="E116" s="20" t="n">
        <v>24</v>
      </c>
      <c r="F116" s="21" t="n">
        <v>929.99</v>
      </c>
      <c r="G116" s="22" t="n">
        <v>0</v>
      </c>
      <c r="H116" s="22" t="n">
        <v>0</v>
      </c>
      <c r="I116" s="22" t="n">
        <v>0</v>
      </c>
      <c r="J116" s="22" t="n">
        <v>0</v>
      </c>
      <c r="K116" s="22" t="n">
        <v>0</v>
      </c>
      <c r="L116" s="22" t="n">
        <v>0</v>
      </c>
      <c r="M116" s="15">
        <f>L116*E116</f>
        <v/>
      </c>
      <c r="N116" s="21" t="n">
        <v>0</v>
      </c>
      <c r="O116" s="22" t="n">
        <v>0</v>
      </c>
    </row>
    <row r="117">
      <c r="A117" s="20" t="inlineStr">
        <is>
          <t>Patch</t>
        </is>
      </c>
      <c r="B117" s="20" t="inlineStr">
        <is>
          <t>10938916</t>
        </is>
      </c>
      <c r="C117" s="20" t="inlineStr">
        <is>
          <t>COCKTAIL PATCH 150ML, NEGRONI</t>
        </is>
      </c>
      <c r="D117" s="20" t="inlineStr">
        <is>
          <t>4X150ML CAN</t>
        </is>
      </c>
      <c r="E117" s="20" t="n">
        <v>4</v>
      </c>
      <c r="F117" s="21" t="n">
        <v>159.99</v>
      </c>
      <c r="G117" s="22" t="n">
        <v>13</v>
      </c>
      <c r="H117" s="22" t="n">
        <v>12</v>
      </c>
      <c r="I117" s="22" t="n">
        <v>18</v>
      </c>
      <c r="J117" s="22" t="n">
        <v>14</v>
      </c>
      <c r="K117" s="22" t="n">
        <v>21</v>
      </c>
      <c r="L117" s="22" t="n">
        <v>6</v>
      </c>
      <c r="M117" s="15">
        <f>L117*E117</f>
        <v/>
      </c>
      <c r="N117" s="21" t="n">
        <v>834.72</v>
      </c>
      <c r="O117" s="22" t="n">
        <v>0</v>
      </c>
    </row>
    <row r="118">
      <c r="A118" s="20" t="inlineStr">
        <is>
          <t>Patch</t>
        </is>
      </c>
      <c r="B118" s="20" t="inlineStr">
        <is>
          <t>10938916</t>
        </is>
      </c>
      <c r="C118" s="20" t="inlineStr">
        <is>
          <t>COCKTAIL PATCH 150ML, NEGRONI</t>
        </is>
      </c>
      <c r="D118" s="20" t="inlineStr">
        <is>
          <t>4X150ML CAN</t>
        </is>
      </c>
      <c r="E118" s="20" t="n">
        <v>4</v>
      </c>
      <c r="F118" s="21" t="n">
        <v>159.99</v>
      </c>
      <c r="G118" s="22" t="n">
        <v>13</v>
      </c>
      <c r="H118" s="22" t="n">
        <v>8</v>
      </c>
      <c r="I118" s="22" t="n">
        <v>14</v>
      </c>
      <c r="J118" s="22" t="n">
        <v>14</v>
      </c>
      <c r="K118" s="22" t="n">
        <v>11</v>
      </c>
      <c r="L118" s="22" t="n">
        <v>12</v>
      </c>
      <c r="M118" s="15">
        <f>L118*E118</f>
        <v/>
      </c>
      <c r="N118" s="21" t="n">
        <v>1669.44</v>
      </c>
      <c r="O118" s="22" t="n">
        <v>0</v>
      </c>
    </row>
    <row r="119">
      <c r="A119" s="20" t="inlineStr">
        <is>
          <t>Patch</t>
        </is>
      </c>
      <c r="B119" s="20" t="inlineStr">
        <is>
          <t>10938916</t>
        </is>
      </c>
      <c r="C119" s="20" t="inlineStr">
        <is>
          <t>COCKTAIL PATCH 150ML, NEGRONI</t>
        </is>
      </c>
      <c r="D119" s="20" t="inlineStr">
        <is>
          <t>4X150ML CAN</t>
        </is>
      </c>
      <c r="E119" s="20" t="n">
        <v>4</v>
      </c>
      <c r="F119" s="21" t="n">
        <v>159.99</v>
      </c>
      <c r="G119" s="22" t="n">
        <v>3</v>
      </c>
      <c r="H119" s="22" t="n">
        <v>6</v>
      </c>
      <c r="I119" s="22" t="n">
        <v>9</v>
      </c>
      <c r="J119" s="22" t="n">
        <v>13</v>
      </c>
      <c r="K119" s="22" t="n">
        <v>4</v>
      </c>
      <c r="L119" s="22" t="n">
        <v>8</v>
      </c>
      <c r="M119" s="15">
        <f>L119*E119</f>
        <v/>
      </c>
      <c r="N119" s="21" t="n">
        <v>1112.96</v>
      </c>
      <c r="O119" s="22" t="n">
        <v>0</v>
      </c>
    </row>
    <row r="120">
      <c r="A120" s="20" t="inlineStr">
        <is>
          <t>Patch</t>
        </is>
      </c>
      <c r="B120" s="20" t="inlineStr">
        <is>
          <t>10938917</t>
        </is>
      </c>
      <c r="C120" s="20" t="inlineStr">
        <is>
          <t>COCKTAIL PATCH 150ML, OLD FASHIONED</t>
        </is>
      </c>
      <c r="D120" s="20" t="inlineStr">
        <is>
          <t>150ML CAN</t>
        </is>
      </c>
      <c r="E120" s="20" t="n">
        <v>1</v>
      </c>
      <c r="F120" s="21" t="n">
        <v>49.99</v>
      </c>
      <c r="G120" s="22" t="n">
        <v>6</v>
      </c>
      <c r="H120" s="22" t="n">
        <v>5</v>
      </c>
      <c r="I120" s="22" t="n">
        <v>4</v>
      </c>
      <c r="J120" s="22" t="n">
        <v>5</v>
      </c>
      <c r="K120" s="22" t="n">
        <v>6</v>
      </c>
      <c r="L120" s="22" t="n">
        <v>8</v>
      </c>
      <c r="M120" s="15">
        <f>L120*E120</f>
        <v/>
      </c>
      <c r="N120" s="21" t="n">
        <v>347.76</v>
      </c>
      <c r="O120" s="22" t="n">
        <v>1170</v>
      </c>
    </row>
    <row r="121">
      <c r="A121" s="20" t="inlineStr">
        <is>
          <t>Patch</t>
        </is>
      </c>
      <c r="B121" s="20" t="inlineStr">
        <is>
          <t>10938917</t>
        </is>
      </c>
      <c r="C121" s="20" t="inlineStr">
        <is>
          <t>COCKTAIL PATCH 150ML, OLD FASHIONED</t>
        </is>
      </c>
      <c r="D121" s="20" t="inlineStr">
        <is>
          <t>150ML CAN</t>
        </is>
      </c>
      <c r="E121" s="20" t="n">
        <v>1</v>
      </c>
      <c r="F121" s="21" t="n">
        <v>49.99</v>
      </c>
      <c r="G121" s="22" t="n">
        <v>4</v>
      </c>
      <c r="H121" s="22" t="n">
        <v>5</v>
      </c>
      <c r="I121" s="22" t="n">
        <v>8</v>
      </c>
      <c r="J121" s="22" t="n">
        <v>6</v>
      </c>
      <c r="K121" s="22" t="n">
        <v>6</v>
      </c>
      <c r="L121" s="22" t="n">
        <v>6</v>
      </c>
      <c r="M121" s="15">
        <f>L121*E121</f>
        <v/>
      </c>
      <c r="N121" s="21" t="n">
        <v>260.82</v>
      </c>
      <c r="O121" s="22" t="n">
        <v>432</v>
      </c>
    </row>
    <row r="122">
      <c r="A122" s="20" t="inlineStr">
        <is>
          <t>Patch</t>
        </is>
      </c>
      <c r="B122" s="20" t="inlineStr">
        <is>
          <t>10938917</t>
        </is>
      </c>
      <c r="C122" s="20" t="inlineStr">
        <is>
          <t>COCKTAIL PATCH 150ML, OLD FASHIONED</t>
        </is>
      </c>
      <c r="D122" s="20" t="inlineStr">
        <is>
          <t>150ML CAN</t>
        </is>
      </c>
      <c r="E122" s="20" t="n">
        <v>1</v>
      </c>
      <c r="F122" s="21" t="n">
        <v>49.99</v>
      </c>
      <c r="G122" s="22" t="n">
        <v>1</v>
      </c>
      <c r="H122" s="22" t="n">
        <v>4</v>
      </c>
      <c r="I122" s="22" t="n">
        <v>3</v>
      </c>
      <c r="J122" s="22" t="n">
        <v>5</v>
      </c>
      <c r="K122" s="22" t="n">
        <v>5</v>
      </c>
      <c r="L122" s="22" t="n">
        <v>3</v>
      </c>
      <c r="M122" s="15">
        <f>L122*E122</f>
        <v/>
      </c>
      <c r="N122" s="21" t="n">
        <v>130.41</v>
      </c>
      <c r="O122" s="22" t="n">
        <v>586</v>
      </c>
    </row>
    <row r="123">
      <c r="A123" s="20" t="inlineStr">
        <is>
          <t>Patch</t>
        </is>
      </c>
      <c r="B123" s="20" t="inlineStr">
        <is>
          <t>10938917</t>
        </is>
      </c>
      <c r="C123" s="20" t="inlineStr">
        <is>
          <t>COCKTAIL PATCH 150ML, OLD FASHIONED</t>
        </is>
      </c>
      <c r="D123" s="20" t="inlineStr">
        <is>
          <t>24X150ML CAN</t>
        </is>
      </c>
      <c r="E123" s="20" t="n">
        <v>24</v>
      </c>
      <c r="F123" s="21" t="n">
        <v>929.99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0</v>
      </c>
      <c r="M123" s="15">
        <f>L123*E123</f>
        <v/>
      </c>
      <c r="N123" s="21" t="n">
        <v>0</v>
      </c>
      <c r="O123" s="22" t="n">
        <v>0</v>
      </c>
    </row>
    <row r="124">
      <c r="A124" s="20" t="inlineStr">
        <is>
          <t>Patch</t>
        </is>
      </c>
      <c r="B124" s="20" t="inlineStr">
        <is>
          <t>10938917</t>
        </is>
      </c>
      <c r="C124" s="20" t="inlineStr">
        <is>
          <t>COCKTAIL PATCH 150ML, OLD FASHIONED</t>
        </is>
      </c>
      <c r="D124" s="20" t="inlineStr">
        <is>
          <t>24X150ML CAN</t>
        </is>
      </c>
      <c r="E124" s="20" t="n">
        <v>24</v>
      </c>
      <c r="F124" s="21" t="n">
        <v>929.99</v>
      </c>
      <c r="G124" s="22" t="n">
        <v>0</v>
      </c>
      <c r="H124" s="22" t="n">
        <v>0</v>
      </c>
      <c r="I124" s="22" t="n">
        <v>0</v>
      </c>
      <c r="J124" s="22" t="n">
        <v>0</v>
      </c>
      <c r="K124" s="22" t="n">
        <v>0</v>
      </c>
      <c r="L124" s="22" t="n">
        <v>0</v>
      </c>
      <c r="M124" s="15">
        <f>L124*E124</f>
        <v/>
      </c>
      <c r="N124" s="21" t="n">
        <v>0</v>
      </c>
      <c r="O124" s="22" t="n">
        <v>0</v>
      </c>
    </row>
    <row r="125">
      <c r="A125" s="20" t="inlineStr">
        <is>
          <t>Patch</t>
        </is>
      </c>
      <c r="B125" s="20" t="inlineStr">
        <is>
          <t>10938917</t>
        </is>
      </c>
      <c r="C125" s="20" t="inlineStr">
        <is>
          <t>COCKTAIL PATCH 150ML, OLD FASHIONED</t>
        </is>
      </c>
      <c r="D125" s="20" t="inlineStr">
        <is>
          <t>24X150ML CAN</t>
        </is>
      </c>
      <c r="E125" s="20" t="n">
        <v>24</v>
      </c>
      <c r="F125" s="21" t="n">
        <v>929.99</v>
      </c>
      <c r="G125" s="22" t="n">
        <v>0</v>
      </c>
      <c r="H125" s="22" t="n">
        <v>0</v>
      </c>
      <c r="I125" s="22" t="n">
        <v>0</v>
      </c>
      <c r="J125" s="22" t="n">
        <v>0</v>
      </c>
      <c r="K125" s="22" t="n">
        <v>0</v>
      </c>
      <c r="L125" s="22" t="n">
        <v>0</v>
      </c>
      <c r="M125" s="15">
        <f>L125*E125</f>
        <v/>
      </c>
      <c r="N125" s="21" t="n">
        <v>0</v>
      </c>
      <c r="O125" s="22" t="n">
        <v>0</v>
      </c>
    </row>
    <row r="126">
      <c r="A126" s="20" t="inlineStr">
        <is>
          <t>Patch</t>
        </is>
      </c>
      <c r="B126" s="20" t="inlineStr">
        <is>
          <t>10938917</t>
        </is>
      </c>
      <c r="C126" s="20" t="inlineStr">
        <is>
          <t>COCKTAIL PATCH 150ML, OLD FASHIONED</t>
        </is>
      </c>
      <c r="D126" s="20" t="inlineStr">
        <is>
          <t>4X150ML CAN</t>
        </is>
      </c>
      <c r="E126" s="20" t="n">
        <v>4</v>
      </c>
      <c r="F126" s="21" t="n">
        <v>159.99</v>
      </c>
      <c r="G126" s="22" t="n">
        <v>8</v>
      </c>
      <c r="H126" s="22" t="n">
        <v>8</v>
      </c>
      <c r="I126" s="22" t="n">
        <v>6</v>
      </c>
      <c r="J126" s="22" t="n">
        <v>7</v>
      </c>
      <c r="K126" s="22" t="n">
        <v>14</v>
      </c>
      <c r="L126" s="22" t="n">
        <v>3</v>
      </c>
      <c r="M126" s="15">
        <f>L126*E126</f>
        <v/>
      </c>
      <c r="N126" s="21" t="n">
        <v>417.36</v>
      </c>
      <c r="O126" s="22" t="n">
        <v>0</v>
      </c>
    </row>
    <row r="127">
      <c r="A127" s="20" t="inlineStr">
        <is>
          <t>Patch</t>
        </is>
      </c>
      <c r="B127" s="20" t="inlineStr">
        <is>
          <t>10938917</t>
        </is>
      </c>
      <c r="C127" s="20" t="inlineStr">
        <is>
          <t>COCKTAIL PATCH 150ML, OLD FASHIONED</t>
        </is>
      </c>
      <c r="D127" s="20" t="inlineStr">
        <is>
          <t>4X150ML CAN</t>
        </is>
      </c>
      <c r="E127" s="20" t="n">
        <v>4</v>
      </c>
      <c r="F127" s="21" t="n">
        <v>159.99</v>
      </c>
      <c r="G127" s="22" t="n">
        <v>5</v>
      </c>
      <c r="H127" s="22" t="n">
        <v>5</v>
      </c>
      <c r="I127" s="22" t="n">
        <v>6</v>
      </c>
      <c r="J127" s="22" t="n">
        <v>6</v>
      </c>
      <c r="K127" s="22" t="n">
        <v>2</v>
      </c>
      <c r="L127" s="22" t="n">
        <v>4</v>
      </c>
      <c r="M127" s="15">
        <f>L127*E127</f>
        <v/>
      </c>
      <c r="N127" s="21" t="n">
        <v>556.48</v>
      </c>
      <c r="O127" s="22" t="n">
        <v>0</v>
      </c>
    </row>
    <row r="128">
      <c r="A128" s="20" t="inlineStr">
        <is>
          <t>Patch</t>
        </is>
      </c>
      <c r="B128" s="20" t="inlineStr">
        <is>
          <t>10938917</t>
        </is>
      </c>
      <c r="C128" s="20" t="inlineStr">
        <is>
          <t>COCKTAIL PATCH 150ML, OLD FASHIONED</t>
        </is>
      </c>
      <c r="D128" s="20" t="inlineStr">
        <is>
          <t>4X150ML CAN</t>
        </is>
      </c>
      <c r="E128" s="20" t="n">
        <v>4</v>
      </c>
      <c r="F128" s="21" t="n">
        <v>159.99</v>
      </c>
      <c r="G128" s="22" t="n">
        <v>2</v>
      </c>
      <c r="H128" s="22" t="n">
        <v>2</v>
      </c>
      <c r="I128" s="22" t="n">
        <v>4</v>
      </c>
      <c r="J128" s="22" t="n">
        <v>1</v>
      </c>
      <c r="K128" s="22" t="n">
        <v>3</v>
      </c>
      <c r="L128" s="22" t="n">
        <v>1</v>
      </c>
      <c r="M128" s="15">
        <f>L128*E128</f>
        <v/>
      </c>
      <c r="N128" s="21" t="n">
        <v>139.12</v>
      </c>
      <c r="O128" s="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3" customWidth="1" min="4" max="4"/>
    <col width="13" customWidth="1" min="5" max="5"/>
    <col width="11" customWidth="1" min="6" max="6"/>
    <col width="17" customWidth="1" min="7" max="7"/>
    <col width="15" customWidth="1" min="8" max="8"/>
    <col width="16" customWidth="1" min="9" max="9"/>
  </cols>
  <sheetData>
    <row r="1">
      <c r="A1" s="1" t="inlineStr">
        <is>
          <t>By product</t>
        </is>
      </c>
    </row>
    <row r="2">
      <c r="A2" s="2" t="inlineStr">
        <is>
          <t>Money and units come from Data. Store counts are the max across pack rows.</t>
        </is>
      </c>
    </row>
    <row r="4" ht="28" customHeight="1">
      <c r="A4" s="5" t="inlineStr">
        <is>
          <t>Portfolio</t>
        </is>
      </c>
      <c r="B4" s="5" t="inlineStr">
        <is>
          <t>Article key</t>
        </is>
      </c>
      <c r="C4" s="5" t="inlineStr">
        <is>
          <t>Article</t>
        </is>
      </c>
      <c r="D4" s="5" t="inlineStr">
        <is>
          <t>Listed stores</t>
        </is>
      </c>
      <c r="E4" s="5" t="inlineStr">
        <is>
          <t>Active stores</t>
        </is>
      </c>
      <c r="F4" s="5" t="inlineStr">
        <is>
          <t>Activation</t>
        </is>
      </c>
      <c r="G4" s="5" t="inlineStr">
        <is>
          <t>Eaches, latest week</t>
        </is>
      </c>
      <c r="H4" s="5" t="inlineStr">
        <is>
          <t>Sales (excl VAT)</t>
        </is>
      </c>
      <c r="I4" s="5" t="inlineStr">
        <is>
          <t>Share of portfolio</t>
        </is>
      </c>
    </row>
    <row r="5">
      <c r="A5" s="20" t="inlineStr">
        <is>
          <t>Core</t>
        </is>
      </c>
      <c r="B5" s="20" t="inlineStr">
        <is>
          <t>10483607</t>
        </is>
      </c>
      <c r="C5" s="20" t="inlineStr">
        <is>
          <t>BEER AMBER WEISS CBC 440ML NRB</t>
        </is>
      </c>
      <c r="D5" s="20" t="n">
        <v>862</v>
      </c>
      <c r="E5" s="20" t="n">
        <v>124</v>
      </c>
      <c r="F5" s="14">
        <f>IF(D5=0,"",E5/D5)</f>
        <v/>
      </c>
      <c r="G5" s="15">
        <f>SUMIF(Data!$B$5:$B$128,$B5,Data!$M$5:$M$128)</f>
        <v/>
      </c>
      <c r="H5" s="23">
        <f>SUMIF(Data!$B$5:$B$128,$B5,Data!$N$5:$N$128)</f>
        <v/>
      </c>
      <c r="I5" s="24">
        <f>IF(SUMIF($A:$A,$A5,$H:$H)=0,"",H5/SUMIF($A:$A,$A5,$H:$H))</f>
        <v/>
      </c>
    </row>
    <row r="6">
      <c r="A6" s="20" t="inlineStr">
        <is>
          <t>Core</t>
        </is>
      </c>
      <c r="B6" s="20" t="inlineStr">
        <is>
          <t>10483608</t>
        </is>
      </c>
      <c r="C6" s="20" t="inlineStr">
        <is>
          <t>BEER PILSNER CBC 440ML NRB</t>
        </is>
      </c>
      <c r="D6" s="20" t="n">
        <v>9</v>
      </c>
      <c r="E6" s="20" t="n">
        <v>0</v>
      </c>
      <c r="F6" s="14">
        <f>IF(D6=0,"",E6/D6)</f>
        <v/>
      </c>
      <c r="G6" s="15">
        <f>SUMIF(Data!$B$5:$B$128,$B6,Data!$M$5:$M$128)</f>
        <v/>
      </c>
      <c r="H6" s="23">
        <f>SUMIF(Data!$B$5:$B$128,$B6,Data!$N$5:$N$128)</f>
        <v/>
      </c>
      <c r="I6" s="24">
        <f>IF(SUMIF($A:$A,$A6,$H:$H)=0,"",H6/SUMIF($A:$A,$A6,$H:$H))</f>
        <v/>
      </c>
    </row>
    <row r="7">
      <c r="A7" s="20" t="inlineStr">
        <is>
          <t>Core</t>
        </is>
      </c>
      <c r="B7" s="20" t="inlineStr">
        <is>
          <t>10521085</t>
        </is>
      </c>
      <c r="C7" s="20" t="inlineStr">
        <is>
          <t>BEER ALE PALE CBC 330ML CAN</t>
        </is>
      </c>
      <c r="D7" s="20" t="n">
        <v>9</v>
      </c>
      <c r="E7" s="20" t="n">
        <v>0</v>
      </c>
      <c r="F7" s="14">
        <f>IF(D7=0,"",E7/D7)</f>
        <v/>
      </c>
      <c r="G7" s="15">
        <f>SUMIF(Data!$B$5:$B$128,$B7,Data!$M$5:$M$128)</f>
        <v/>
      </c>
      <c r="H7" s="23">
        <f>SUMIF(Data!$B$5:$B$128,$B7,Data!$N$5:$N$128)</f>
        <v/>
      </c>
      <c r="I7" s="24">
        <f>IF(SUMIF($A:$A,$A7,$H:$H)=0,"",H7/SUMIF($A:$A,$A7,$H:$H))</f>
        <v/>
      </c>
    </row>
    <row r="8">
      <c r="A8" s="20" t="inlineStr">
        <is>
          <t>Core</t>
        </is>
      </c>
      <c r="B8" s="20" t="inlineStr">
        <is>
          <t>10532818</t>
        </is>
      </c>
      <c r="C8" s="20" t="inlineStr">
        <is>
          <t>BEER KRYSTEL WEISS CBC 340ML BOT</t>
        </is>
      </c>
      <c r="D8" s="20" t="n">
        <v>958</v>
      </c>
      <c r="E8" s="20" t="n">
        <v>136</v>
      </c>
      <c r="F8" s="14">
        <f>IF(D8=0,"",E8/D8)</f>
        <v/>
      </c>
      <c r="G8" s="15">
        <f>SUMIF(Data!$B$5:$B$128,$B8,Data!$M$5:$M$128)</f>
        <v/>
      </c>
      <c r="H8" s="23">
        <f>SUMIF(Data!$B$5:$B$128,$B8,Data!$N$5:$N$128)</f>
        <v/>
      </c>
      <c r="I8" s="24">
        <f>IF(SUMIF($A:$A,$A8,$H:$H)=0,"",H8/SUMIF($A:$A,$A8,$H:$H))</f>
        <v/>
      </c>
    </row>
    <row r="9">
      <c r="A9" s="20" t="inlineStr">
        <is>
          <t>Core</t>
        </is>
      </c>
      <c r="B9" s="20" t="inlineStr">
        <is>
          <t>10532819</t>
        </is>
      </c>
      <c r="C9" s="20" t="inlineStr">
        <is>
          <t>BEER LAGER CBC 340ML BOT</t>
        </is>
      </c>
      <c r="D9" s="20" t="n">
        <v>961</v>
      </c>
      <c r="E9" s="20" t="n">
        <v>143</v>
      </c>
      <c r="F9" s="14">
        <f>IF(D9=0,"",E9/D9)</f>
        <v/>
      </c>
      <c r="G9" s="15">
        <f>SUMIF(Data!$B$5:$B$128,$B9,Data!$M$5:$M$128)</f>
        <v/>
      </c>
      <c r="H9" s="23">
        <f>SUMIF(Data!$B$5:$B$128,$B9,Data!$N$5:$N$128)</f>
        <v/>
      </c>
      <c r="I9" s="24">
        <f>IF(SUMIF($A:$A,$A9,$H:$H)=0,"",H9/SUMIF($A:$A,$A9,$H:$H))</f>
        <v/>
      </c>
    </row>
    <row r="10">
      <c r="A10" s="20" t="inlineStr">
        <is>
          <t>Core</t>
        </is>
      </c>
      <c r="B10" s="20" t="inlineStr">
        <is>
          <t>10615602</t>
        </is>
      </c>
      <c r="C10" s="20" t="inlineStr">
        <is>
          <t>CIDER REKORDERLIG 500ML BOT, WILD BERRY</t>
        </is>
      </c>
      <c r="D10" s="20" t="n">
        <v>331</v>
      </c>
      <c r="E10" s="20" t="n">
        <v>0</v>
      </c>
      <c r="F10" s="14">
        <f>IF(D10=0,"",E10/D10)</f>
        <v/>
      </c>
      <c r="G10" s="15">
        <f>SUMIF(Data!$B$5:$B$128,$B10,Data!$M$5:$M$128)</f>
        <v/>
      </c>
      <c r="H10" s="23">
        <f>SUMIF(Data!$B$5:$B$128,$B10,Data!$N$5:$N$128)</f>
        <v/>
      </c>
      <c r="I10" s="24">
        <f>IF(SUMIF($A:$A,$A10,$H:$H)=0,"",H10/SUMIF($A:$A,$A10,$H:$H))</f>
        <v/>
      </c>
    </row>
    <row r="11">
      <c r="A11" s="20" t="inlineStr">
        <is>
          <t>Core</t>
        </is>
      </c>
      <c r="B11" s="20" t="inlineStr">
        <is>
          <t>10615603</t>
        </is>
      </c>
      <c r="C11" s="20" t="inlineStr">
        <is>
          <t>CIDER REKORDERLIG 500ML BOT, STRAWB LIME</t>
        </is>
      </c>
      <c r="D11" s="20" t="n">
        <v>5</v>
      </c>
      <c r="E11" s="20" t="n">
        <v>0</v>
      </c>
      <c r="F11" s="14">
        <f>IF(D11=0,"",E11/D11)</f>
        <v/>
      </c>
      <c r="G11" s="15">
        <f>SUMIF(Data!$B$5:$B$128,$B11,Data!$M$5:$M$128)</f>
        <v/>
      </c>
      <c r="H11" s="23">
        <f>SUMIF(Data!$B$5:$B$128,$B11,Data!$N$5:$N$128)</f>
        <v/>
      </c>
      <c r="I11" s="24">
        <f>IF(SUMIF($A:$A,$A11,$H:$H)=0,"",H11/SUMIF($A:$A,$A11,$H:$H))</f>
        <v/>
      </c>
    </row>
    <row r="12">
      <c r="A12" s="20" t="inlineStr">
        <is>
          <t>Core</t>
        </is>
      </c>
      <c r="B12" s="20" t="inlineStr">
        <is>
          <t>10697191</t>
        </is>
      </c>
      <c r="C12" s="20" t="inlineStr">
        <is>
          <t>BEER PILSNER CBC 340ML NRB</t>
        </is>
      </c>
      <c r="D12" s="20" t="n">
        <v>960</v>
      </c>
      <c r="E12" s="20" t="n">
        <v>138</v>
      </c>
      <c r="F12" s="14">
        <f>IF(D12=0,"",E12/D12)</f>
        <v/>
      </c>
      <c r="G12" s="15">
        <f>SUMIF(Data!$B$5:$B$128,$B12,Data!$M$5:$M$128)</f>
        <v/>
      </c>
      <c r="H12" s="23">
        <f>SUMIF(Data!$B$5:$B$128,$B12,Data!$N$5:$N$128)</f>
        <v/>
      </c>
      <c r="I12" s="24">
        <f>IF(SUMIF($A:$A,$A12,$H:$H)=0,"",H12/SUMIF($A:$A,$A12,$H:$H))</f>
        <v/>
      </c>
    </row>
    <row r="13">
      <c r="A13" s="20" t="inlineStr">
        <is>
          <t>Core</t>
        </is>
      </c>
      <c r="B13" s="20" t="inlineStr">
        <is>
          <t>10711455</t>
        </is>
      </c>
      <c r="C13" s="20" t="inlineStr">
        <is>
          <t>BEER LAGER LITE CBC 340ML NRB</t>
        </is>
      </c>
      <c r="D13" s="20" t="n">
        <v>947</v>
      </c>
      <c r="E13" s="20" t="n">
        <v>143</v>
      </c>
      <c r="F13" s="14">
        <f>IF(D13=0,"",E13/D13)</f>
        <v/>
      </c>
      <c r="G13" s="15">
        <f>SUMIF(Data!$B$5:$B$128,$B13,Data!$M$5:$M$128)</f>
        <v/>
      </c>
      <c r="H13" s="23">
        <f>SUMIF(Data!$B$5:$B$128,$B13,Data!$N$5:$N$128)</f>
        <v/>
      </c>
      <c r="I13" s="24">
        <f>IF(SUMIF($A:$A,$A13,$H:$H)=0,"",H13/SUMIF($A:$A,$A13,$H:$H))</f>
        <v/>
      </c>
    </row>
    <row r="14">
      <c r="A14" s="20" t="inlineStr">
        <is>
          <t>Core</t>
        </is>
      </c>
      <c r="B14" s="20" t="inlineStr">
        <is>
          <t>10755051</t>
        </is>
      </c>
      <c r="C14" s="20" t="inlineStr">
        <is>
          <t>BEER LAGER TRUEMAN 660ML NRB</t>
        </is>
      </c>
      <c r="D14" s="20" t="n">
        <v>473</v>
      </c>
      <c r="E14" s="20" t="n">
        <v>0</v>
      </c>
      <c r="F14" s="14">
        <f>IF(D14=0,"",E14/D14)</f>
        <v/>
      </c>
      <c r="G14" s="15">
        <f>SUMIF(Data!$B$5:$B$128,$B14,Data!$M$5:$M$128)</f>
        <v/>
      </c>
      <c r="H14" s="23">
        <f>SUMIF(Data!$B$5:$B$128,$B14,Data!$N$5:$N$128)</f>
        <v/>
      </c>
      <c r="I14" s="24">
        <f>IF(SUMIF($A:$A,$A14,$H:$H)=0,"",H14/SUMIF($A:$A,$A14,$H:$H))</f>
        <v/>
      </c>
    </row>
    <row r="15">
      <c r="A15" s="20" t="inlineStr">
        <is>
          <t>Core</t>
        </is>
      </c>
      <c r="B15" s="20" t="inlineStr">
        <is>
          <t>10787565</t>
        </is>
      </c>
      <c r="C15" s="20" t="inlineStr">
        <is>
          <t>CIDER STRAWB LIME REKORDERLIG 330ML CAN</t>
        </is>
      </c>
      <c r="D15" s="20" t="n">
        <v>935</v>
      </c>
      <c r="E15" s="20" t="n">
        <v>934</v>
      </c>
      <c r="F15" s="14">
        <f>IF(D15=0,"",E15/D15)</f>
        <v/>
      </c>
      <c r="G15" s="15">
        <f>SUMIF(Data!$B$5:$B$128,$B15,Data!$M$5:$M$128)</f>
        <v/>
      </c>
      <c r="H15" s="23">
        <f>SUMIF(Data!$B$5:$B$128,$B15,Data!$N$5:$N$128)</f>
        <v/>
      </c>
      <c r="I15" s="24">
        <f>IF(SUMIF($A:$A,$A15,$H:$H)=0,"",H15/SUMIF($A:$A,$A15,$H:$H))</f>
        <v/>
      </c>
    </row>
    <row r="16">
      <c r="A16" s="20" t="inlineStr">
        <is>
          <t>Core</t>
        </is>
      </c>
      <c r="B16" s="20" t="inlineStr">
        <is>
          <t>10810779</t>
        </is>
      </c>
      <c r="C16" s="20" t="inlineStr">
        <is>
          <t>BEER ALE PALE CBC 340ML NRB</t>
        </is>
      </c>
      <c r="D16" s="20" t="n">
        <v>950</v>
      </c>
      <c r="E16" s="20" t="n">
        <v>131</v>
      </c>
      <c r="F16" s="14">
        <f>IF(D16=0,"",E16/D16)</f>
        <v/>
      </c>
      <c r="G16" s="15">
        <f>SUMIF(Data!$B$5:$B$128,$B16,Data!$M$5:$M$128)</f>
        <v/>
      </c>
      <c r="H16" s="23">
        <f>SUMIF(Data!$B$5:$B$128,$B16,Data!$N$5:$N$128)</f>
        <v/>
      </c>
      <c r="I16" s="24">
        <f>IF(SUMIF($A:$A,$A16,$H:$H)=0,"",H16/SUMIF($A:$A,$A16,$H:$H))</f>
        <v/>
      </c>
    </row>
    <row r="17">
      <c r="A17" s="20" t="inlineStr">
        <is>
          <t>Core</t>
        </is>
      </c>
      <c r="B17" s="20" t="inlineStr">
        <is>
          <t>10810780</t>
        </is>
      </c>
      <c r="C17" s="20" t="inlineStr">
        <is>
          <t>BEER GOLDEN LAGER DIESEL&amp;DUST 340ML NRB</t>
        </is>
      </c>
      <c r="D17" s="20" t="n">
        <v>98</v>
      </c>
      <c r="E17" s="20" t="n">
        <v>0</v>
      </c>
      <c r="F17" s="14">
        <f>IF(D17=0,"",E17/D17)</f>
        <v/>
      </c>
      <c r="G17" s="15">
        <f>SUMIF(Data!$B$5:$B$128,$B17,Data!$M$5:$M$128)</f>
        <v/>
      </c>
      <c r="H17" s="23">
        <f>SUMIF(Data!$B$5:$B$128,$B17,Data!$N$5:$N$128)</f>
        <v/>
      </c>
      <c r="I17" s="24">
        <f>IF(SUMIF($A:$A,$A17,$H:$H)=0,"",H17/SUMIF($A:$A,$A17,$H:$H))</f>
        <v/>
      </c>
    </row>
    <row r="18">
      <c r="A18" s="20" t="inlineStr">
        <is>
          <t>Core</t>
        </is>
      </c>
      <c r="B18" s="20" t="inlineStr">
        <is>
          <t>10810782</t>
        </is>
      </c>
      <c r="C18" s="20" t="inlineStr">
        <is>
          <t>BEER BLOND ALE DIESEL&amp;DUST 340ML NRB</t>
        </is>
      </c>
      <c r="D18" s="20" t="n">
        <v>98</v>
      </c>
      <c r="E18" s="20" t="n">
        <v>0</v>
      </c>
      <c r="F18" s="14">
        <f>IF(D18=0,"",E18/D18)</f>
        <v/>
      </c>
      <c r="G18" s="15">
        <f>SUMIF(Data!$B$5:$B$128,$B18,Data!$M$5:$M$128)</f>
        <v/>
      </c>
      <c r="H18" s="23">
        <f>SUMIF(Data!$B$5:$B$128,$B18,Data!$N$5:$N$128)</f>
        <v/>
      </c>
      <c r="I18" s="24">
        <f>IF(SUMIF($A:$A,$A18,$H:$H)=0,"",H18/SUMIF($A:$A,$A18,$H:$H))</f>
        <v/>
      </c>
    </row>
    <row r="19">
      <c r="A19" s="20" t="inlineStr">
        <is>
          <t>Core</t>
        </is>
      </c>
      <c r="B19" s="20" t="inlineStr">
        <is>
          <t>10838413</t>
        </is>
      </c>
      <c r="C19" s="20" t="inlineStr">
        <is>
          <t>GIN&amp;TONIC N-ALC BOTANICL THE DUCHES300ML</t>
        </is>
      </c>
      <c r="D19" s="20" t="n">
        <v>343</v>
      </c>
      <c r="E19" s="20" t="n">
        <v>0</v>
      </c>
      <c r="F19" s="14">
        <f>IF(D19=0,"",E19/D19)</f>
        <v/>
      </c>
      <c r="G19" s="15">
        <f>SUMIF(Data!$B$5:$B$128,$B19,Data!$M$5:$M$128)</f>
        <v/>
      </c>
      <c r="H19" s="23">
        <f>SUMIF(Data!$B$5:$B$128,$B19,Data!$N$5:$N$128)</f>
        <v/>
      </c>
      <c r="I19" s="24">
        <f>IF(SUMIF($A:$A,$A19,$H:$H)=0,"",H19/SUMIF($A:$A,$A19,$H:$H))</f>
        <v/>
      </c>
    </row>
    <row r="20">
      <c r="A20" s="20" t="inlineStr">
        <is>
          <t>Core</t>
        </is>
      </c>
      <c r="B20" s="20" t="inlineStr">
        <is>
          <t>10838414</t>
        </is>
      </c>
      <c r="C20" s="20" t="inlineStr">
        <is>
          <t>GIN&amp;TONIC N-ALC FLORAL THE DUCHESS 300ML</t>
        </is>
      </c>
      <c r="D20" s="20" t="n">
        <v>343</v>
      </c>
      <c r="E20" s="20" t="n">
        <v>0</v>
      </c>
      <c r="F20" s="14">
        <f>IF(D20=0,"",E20/D20)</f>
        <v/>
      </c>
      <c r="G20" s="15">
        <f>SUMIF(Data!$B$5:$B$128,$B20,Data!$M$5:$M$128)</f>
        <v/>
      </c>
      <c r="H20" s="23">
        <f>SUMIF(Data!$B$5:$B$128,$B20,Data!$N$5:$N$128)</f>
        <v/>
      </c>
      <c r="I20" s="24">
        <f>IF(SUMIF($A:$A,$A20,$H:$H)=0,"",H20/SUMIF($A:$A,$A20,$H:$H))</f>
        <v/>
      </c>
    </row>
    <row r="21">
      <c r="A21" s="20" t="inlineStr">
        <is>
          <t>Core</t>
        </is>
      </c>
      <c r="B21" s="20" t="inlineStr">
        <is>
          <t>10842437</t>
        </is>
      </c>
      <c r="C21" s="20" t="inlineStr">
        <is>
          <t>CIDER PASSION FRUIT REKORDELIG 330ML CAN</t>
        </is>
      </c>
      <c r="D21" s="20" t="n">
        <v>937</v>
      </c>
      <c r="E21" s="20" t="n">
        <v>937</v>
      </c>
      <c r="F21" s="14">
        <f>IF(D21=0,"",E21/D21)</f>
        <v/>
      </c>
      <c r="G21" s="15">
        <f>SUMIF(Data!$B$5:$B$128,$B21,Data!$M$5:$M$128)</f>
        <v/>
      </c>
      <c r="H21" s="23">
        <f>SUMIF(Data!$B$5:$B$128,$B21,Data!$N$5:$N$128)</f>
        <v/>
      </c>
      <c r="I21" s="24">
        <f>IF(SUMIF($A:$A,$A21,$H:$H)=0,"",H21/SUMIF($A:$A,$A21,$H:$H))</f>
        <v/>
      </c>
    </row>
    <row r="22">
      <c r="A22" s="20" t="inlineStr">
        <is>
          <t>Core</t>
        </is>
      </c>
      <c r="B22" s="20" t="inlineStr">
        <is>
          <t>10864669</t>
        </is>
      </c>
      <c r="C22" s="20" t="inlineStr">
        <is>
          <t>CIDER WILD BERRIES REKORDERLIG 330ML</t>
        </is>
      </c>
      <c r="D22" s="20" t="n">
        <v>935</v>
      </c>
      <c r="E22" s="20" t="n">
        <v>934</v>
      </c>
      <c r="F22" s="14">
        <f>IF(D22=0,"",E22/D22)</f>
        <v/>
      </c>
      <c r="G22" s="15">
        <f>SUMIF(Data!$B$5:$B$128,$B22,Data!$M$5:$M$128)</f>
        <v/>
      </c>
      <c r="H22" s="23">
        <f>SUMIF(Data!$B$5:$B$128,$B22,Data!$N$5:$N$128)</f>
        <v/>
      </c>
      <c r="I22" s="24">
        <f>IF(SUMIF($A:$A,$A22,$H:$H)=0,"",H22/SUMIF($A:$A,$A22,$H:$H))</f>
        <v/>
      </c>
    </row>
    <row r="23">
      <c r="A23" s="20" t="inlineStr">
        <is>
          <t>Core</t>
        </is>
      </c>
      <c r="B23" s="20" t="inlineStr">
        <is>
          <t>10864670</t>
        </is>
      </c>
      <c r="C23" s="20" t="inlineStr">
        <is>
          <t>CIDER MANGO RASPB REKORDERLIG 330ML</t>
        </is>
      </c>
      <c r="D23" s="20" t="n">
        <v>935</v>
      </c>
      <c r="E23" s="20" t="n">
        <v>934</v>
      </c>
      <c r="F23" s="14">
        <f>IF(D23=0,"",E23/D23)</f>
        <v/>
      </c>
      <c r="G23" s="15">
        <f>SUMIF(Data!$B$5:$B$128,$B23,Data!$M$5:$M$128)</f>
        <v/>
      </c>
      <c r="H23" s="23">
        <f>SUMIF(Data!$B$5:$B$128,$B23,Data!$N$5:$N$128)</f>
        <v/>
      </c>
      <c r="I23" s="24">
        <f>IF(SUMIF($A:$A,$A23,$H:$H)=0,"",H23/SUMIF($A:$A,$A23,$H:$H))</f>
        <v/>
      </c>
    </row>
    <row r="24">
      <c r="A24" s="20" t="inlineStr">
        <is>
          <t>Core</t>
        </is>
      </c>
      <c r="B24" s="20" t="inlineStr">
        <is>
          <t>10866366</t>
        </is>
      </c>
      <c r="C24" s="20" t="inlineStr">
        <is>
          <t>CIDER VARIETY PACK REKORDERLIG 8X330ML</t>
        </is>
      </c>
      <c r="D24" s="20" t="n">
        <v>25</v>
      </c>
      <c r="E24" s="20" t="n">
        <v>0</v>
      </c>
      <c r="F24" s="14">
        <f>IF(D24=0,"",E24/D24)</f>
        <v/>
      </c>
      <c r="G24" s="15">
        <f>SUMIF(Data!$B$5:$B$128,$B24,Data!$M$5:$M$128)</f>
        <v/>
      </c>
      <c r="H24" s="23">
        <f>SUMIF(Data!$B$5:$B$128,$B24,Data!$N$5:$N$128)</f>
        <v/>
      </c>
      <c r="I24" s="24">
        <f>IF(SUMIF($A:$A,$A24,$H:$H)=0,"",H24/SUMIF($A:$A,$A24,$H:$H))</f>
        <v/>
      </c>
    </row>
    <row r="25">
      <c r="A25" s="20" t="inlineStr">
        <is>
          <t>Core</t>
        </is>
      </c>
      <c r="B25" s="20" t="inlineStr">
        <is>
          <t>10908314</t>
        </is>
      </c>
      <c r="C25" s="20" t="inlineStr">
        <is>
          <t>COOLER ROOIBOS TEAZY 300ML, PEACH</t>
        </is>
      </c>
      <c r="D25" s="20" t="n">
        <v>157</v>
      </c>
      <c r="E25" s="20" t="n">
        <v>157</v>
      </c>
      <c r="F25" s="14">
        <f>IF(D25=0,"",E25/D25)</f>
        <v/>
      </c>
      <c r="G25" s="15">
        <f>SUMIF(Data!$B$5:$B$128,$B25,Data!$M$5:$M$128)</f>
        <v/>
      </c>
      <c r="H25" s="23">
        <f>SUMIF(Data!$B$5:$B$128,$B25,Data!$N$5:$N$128)</f>
        <v/>
      </c>
      <c r="I25" s="24">
        <f>IF(SUMIF($A:$A,$A25,$H:$H)=0,"",H25/SUMIF($A:$A,$A25,$H:$H))</f>
        <v/>
      </c>
    </row>
    <row r="26">
      <c r="A26" s="20" t="inlineStr">
        <is>
          <t>Core</t>
        </is>
      </c>
      <c r="B26" s="20" t="inlineStr">
        <is>
          <t>10908315</t>
        </is>
      </c>
      <c r="C26" s="20" t="inlineStr">
        <is>
          <t>COOLER ROOIBOS TEAZY 300ML, PASSION FRT</t>
        </is>
      </c>
      <c r="D26" s="20" t="n">
        <v>138</v>
      </c>
      <c r="E26" s="20" t="n">
        <v>138</v>
      </c>
      <c r="F26" s="14">
        <f>IF(D26=0,"",E26/D26)</f>
        <v/>
      </c>
      <c r="G26" s="15">
        <f>SUMIF(Data!$B$5:$B$128,$B26,Data!$M$5:$M$128)</f>
        <v/>
      </c>
      <c r="H26" s="23">
        <f>SUMIF(Data!$B$5:$B$128,$B26,Data!$N$5:$N$128)</f>
        <v/>
      </c>
      <c r="I26" s="24">
        <f>IF(SUMIF($A:$A,$A26,$H:$H)=0,"",H26/SUMIF($A:$A,$A26,$H:$H))</f>
        <v/>
      </c>
    </row>
    <row r="27">
      <c r="A27" s="20" t="inlineStr">
        <is>
          <t>Core</t>
        </is>
      </c>
      <c r="B27" s="20" t="inlineStr">
        <is>
          <t>10908316</t>
        </is>
      </c>
      <c r="C27" s="20" t="inlineStr">
        <is>
          <t>COOLER ROOIBOS TEAZY 300ML, WILD BERRY</t>
        </is>
      </c>
      <c r="D27" s="20" t="n">
        <v>157</v>
      </c>
      <c r="E27" s="20" t="n">
        <v>157</v>
      </c>
      <c r="F27" s="14">
        <f>IF(D27=0,"",E27/D27)</f>
        <v/>
      </c>
      <c r="G27" s="15">
        <f>SUMIF(Data!$B$5:$B$128,$B27,Data!$M$5:$M$128)</f>
        <v/>
      </c>
      <c r="H27" s="23">
        <f>SUMIF(Data!$B$5:$B$128,$B27,Data!$N$5:$N$128)</f>
        <v/>
      </c>
      <c r="I27" s="24">
        <f>IF(SUMIF($A:$A,$A27,$H:$H)=0,"",H27/SUMIF($A:$A,$A27,$H:$H))</f>
        <v/>
      </c>
    </row>
    <row r="28">
      <c r="A28" s="20" t="inlineStr">
        <is>
          <t>Core</t>
        </is>
      </c>
      <c r="B28" s="20" t="inlineStr">
        <is>
          <t>10934493</t>
        </is>
      </c>
      <c r="C28" s="20" t="inlineStr">
        <is>
          <t>CIDER NON-ALC STRWB LME REKORDELIG 330ML</t>
        </is>
      </c>
      <c r="D28" s="20" t="n">
        <v>394</v>
      </c>
      <c r="E28" s="20" t="n">
        <v>392</v>
      </c>
      <c r="F28" s="14">
        <f>IF(D28=0,"",E28/D28)</f>
        <v/>
      </c>
      <c r="G28" s="15">
        <f>SUMIF(Data!$B$5:$B$128,$B28,Data!$M$5:$M$128)</f>
        <v/>
      </c>
      <c r="H28" s="23">
        <f>SUMIF(Data!$B$5:$B$128,$B28,Data!$N$5:$N$128)</f>
        <v/>
      </c>
      <c r="I28" s="24">
        <f>IF(SUMIF($A:$A,$A28,$H:$H)=0,"",H28/SUMIF($A:$A,$A28,$H:$H))</f>
        <v/>
      </c>
    </row>
    <row r="29">
      <c r="A29" s="20" t="inlineStr">
        <is>
          <t>Core</t>
        </is>
      </c>
      <c r="B29" s="20" t="inlineStr">
        <is>
          <t>10935004</t>
        </is>
      </c>
      <c r="C29" s="20" t="inlineStr">
        <is>
          <t>BEER WEST COAST IPA CBC 340ML NRB</t>
        </is>
      </c>
      <c r="D29" s="20" t="n">
        <v>354</v>
      </c>
      <c r="E29" s="20" t="n">
        <v>142</v>
      </c>
      <c r="F29" s="14">
        <f>IF(D29=0,"",E29/D29)</f>
        <v/>
      </c>
      <c r="G29" s="15">
        <f>SUMIF(Data!$B$5:$B$128,$B29,Data!$M$5:$M$128)</f>
        <v/>
      </c>
      <c r="H29" s="23">
        <f>SUMIF(Data!$B$5:$B$128,$B29,Data!$N$5:$N$128)</f>
        <v/>
      </c>
      <c r="I29" s="24">
        <f>IF(SUMIF($A:$A,$A29,$H:$H)=0,"",H29/SUMIF($A:$A,$A29,$H:$H))</f>
        <v/>
      </c>
    </row>
    <row r="30">
      <c r="A30" s="20" t="inlineStr">
        <is>
          <t>Core</t>
        </is>
      </c>
      <c r="B30" s="20" t="inlineStr">
        <is>
          <t>10937405</t>
        </is>
      </c>
      <c r="C30" s="20" t="inlineStr">
        <is>
          <t>CIDER PEACH RASPB REKORDERLIG 330ML NRB</t>
        </is>
      </c>
      <c r="D30" s="20" t="n">
        <v>359</v>
      </c>
      <c r="E30" s="20" t="n">
        <v>359</v>
      </c>
      <c r="F30" s="14">
        <f>IF(D30=0,"",E30/D30)</f>
        <v/>
      </c>
      <c r="G30" s="15">
        <f>SUMIF(Data!$B$5:$B$128,$B30,Data!$M$5:$M$128)</f>
        <v/>
      </c>
      <c r="H30" s="23">
        <f>SUMIF(Data!$B$5:$B$128,$B30,Data!$N$5:$N$128)</f>
        <v/>
      </c>
      <c r="I30" s="24">
        <f>IF(SUMIF($A:$A,$A30,$H:$H)=0,"",H30/SUMIF($A:$A,$A30,$H:$H))</f>
        <v/>
      </c>
    </row>
    <row r="31">
      <c r="A31" s="20" t="inlineStr">
        <is>
          <t>Patch</t>
        </is>
      </c>
      <c r="B31" s="20" t="inlineStr">
        <is>
          <t>10938912</t>
        </is>
      </c>
      <c r="C31" s="20" t="inlineStr">
        <is>
          <t>COCKTAIL PATCH 150ML, MARGARITA</t>
        </is>
      </c>
      <c r="D31" s="20" t="n">
        <v>359</v>
      </c>
      <c r="E31" s="20" t="n">
        <v>359</v>
      </c>
      <c r="F31" s="14">
        <f>IF(D31=0,"",E31/D31)</f>
        <v/>
      </c>
      <c r="G31" s="15">
        <f>SUMIF(Data!$B$5:$B$128,$B31,Data!$M$5:$M$128)</f>
        <v/>
      </c>
      <c r="H31" s="23">
        <f>SUMIF(Data!$B$5:$B$128,$B31,Data!$N$5:$N$128)</f>
        <v/>
      </c>
      <c r="I31" s="24">
        <f>IF(SUMIF($A:$A,$A31,$H:$H)=0,"",H31/SUMIF($A:$A,$A31,$H:$H))</f>
        <v/>
      </c>
    </row>
    <row r="32">
      <c r="A32" s="20" t="inlineStr">
        <is>
          <t>Patch</t>
        </is>
      </c>
      <c r="B32" s="20" t="inlineStr">
        <is>
          <t>10938913</t>
        </is>
      </c>
      <c r="C32" s="20" t="inlineStr">
        <is>
          <t>COCKTAIL PATCH 150ML, PALOMA</t>
        </is>
      </c>
      <c r="D32" s="20" t="n">
        <v>359</v>
      </c>
      <c r="E32" s="20" t="n">
        <v>359</v>
      </c>
      <c r="F32" s="14">
        <f>IF(D32=0,"",E32/D32)</f>
        <v/>
      </c>
      <c r="G32" s="15">
        <f>SUMIF(Data!$B$5:$B$128,$B32,Data!$M$5:$M$128)</f>
        <v/>
      </c>
      <c r="H32" s="23">
        <f>SUMIF(Data!$B$5:$B$128,$B32,Data!$N$5:$N$128)</f>
        <v/>
      </c>
      <c r="I32" s="24">
        <f>IF(SUMIF($A:$A,$A32,$H:$H)=0,"",H32/SUMIF($A:$A,$A32,$H:$H))</f>
        <v/>
      </c>
    </row>
    <row r="33">
      <c r="A33" s="20" t="inlineStr">
        <is>
          <t>Patch</t>
        </is>
      </c>
      <c r="B33" s="20" t="inlineStr">
        <is>
          <t>10938914</t>
        </is>
      </c>
      <c r="C33" s="20" t="inlineStr">
        <is>
          <t>COCKTAIL PATCH 150ML, MOJITO</t>
        </is>
      </c>
      <c r="D33" s="20" t="n">
        <v>359</v>
      </c>
      <c r="E33" s="20" t="n">
        <v>359</v>
      </c>
      <c r="F33" s="14">
        <f>IF(D33=0,"",E33/D33)</f>
        <v/>
      </c>
      <c r="G33" s="15">
        <f>SUMIF(Data!$B$5:$B$128,$B33,Data!$M$5:$M$128)</f>
        <v/>
      </c>
      <c r="H33" s="23">
        <f>SUMIF(Data!$B$5:$B$128,$B33,Data!$N$5:$N$128)</f>
        <v/>
      </c>
      <c r="I33" s="24">
        <f>IF(SUMIF($A:$A,$A33,$H:$H)=0,"",H33/SUMIF($A:$A,$A33,$H:$H))</f>
        <v/>
      </c>
    </row>
    <row r="34">
      <c r="A34" s="20" t="inlineStr">
        <is>
          <t>Patch</t>
        </is>
      </c>
      <c r="B34" s="20" t="inlineStr">
        <is>
          <t>10938915</t>
        </is>
      </c>
      <c r="C34" s="20" t="inlineStr">
        <is>
          <t>COCKTAIL PATCH 150ML, ESPRES MARTINI</t>
        </is>
      </c>
      <c r="D34" s="20" t="n">
        <v>359</v>
      </c>
      <c r="E34" s="20" t="n">
        <v>359</v>
      </c>
      <c r="F34" s="14">
        <f>IF(D34=0,"",E34/D34)</f>
        <v/>
      </c>
      <c r="G34" s="15">
        <f>SUMIF(Data!$B$5:$B$128,$B34,Data!$M$5:$M$128)</f>
        <v/>
      </c>
      <c r="H34" s="23">
        <f>SUMIF(Data!$B$5:$B$128,$B34,Data!$N$5:$N$128)</f>
        <v/>
      </c>
      <c r="I34" s="24">
        <f>IF(SUMIF($A:$A,$A34,$H:$H)=0,"",H34/SUMIF($A:$A,$A34,$H:$H))</f>
        <v/>
      </c>
    </row>
    <row r="35">
      <c r="A35" s="20" t="inlineStr">
        <is>
          <t>Patch</t>
        </is>
      </c>
      <c r="B35" s="20" t="inlineStr">
        <is>
          <t>10938916</t>
        </is>
      </c>
      <c r="C35" s="20" t="inlineStr">
        <is>
          <t>COCKTAIL PATCH 150ML, NEGRONI</t>
        </is>
      </c>
      <c r="D35" s="20" t="n">
        <v>225</v>
      </c>
      <c r="E35" s="20" t="n">
        <v>0</v>
      </c>
      <c r="F35" s="14">
        <f>IF(D35=0,"",E35/D35)</f>
        <v/>
      </c>
      <c r="G35" s="15">
        <f>SUMIF(Data!$B$5:$B$128,$B35,Data!$M$5:$M$128)</f>
        <v/>
      </c>
      <c r="H35" s="23">
        <f>SUMIF(Data!$B$5:$B$128,$B35,Data!$N$5:$N$128)</f>
        <v/>
      </c>
      <c r="I35" s="24">
        <f>IF(SUMIF($A:$A,$A35,$H:$H)=0,"",H35/SUMIF($A:$A,$A35,$H:$H))</f>
        <v/>
      </c>
    </row>
    <row r="36">
      <c r="A36" s="20" t="inlineStr">
        <is>
          <t>Patch</t>
        </is>
      </c>
      <c r="B36" s="20" t="inlineStr">
        <is>
          <t>10938917</t>
        </is>
      </c>
      <c r="C36" s="20" t="inlineStr">
        <is>
          <t>COCKTAIL PATCH 150ML, OLD FASHIONED</t>
        </is>
      </c>
      <c r="D36" s="20" t="n">
        <v>225</v>
      </c>
      <c r="E36" s="20" t="n">
        <v>0</v>
      </c>
      <c r="F36" s="14">
        <f>IF(D36=0,"",E36/D36)</f>
        <v/>
      </c>
      <c r="G36" s="15">
        <f>SUMIF(Data!$B$5:$B$128,$B36,Data!$M$5:$M$128)</f>
        <v/>
      </c>
      <c r="H36" s="23">
        <f>SUMIF(Data!$B$5:$B$128,$B36,Data!$N$5:$N$128)</f>
        <v/>
      </c>
      <c r="I36" s="24">
        <f>IF(SUMIF($A:$A,$A36,$H:$H)=0,"",H36/SUMIF($A:$A,$A36,$H:$H))</f>
        <v/>
      </c>
    </row>
    <row r="37">
      <c r="A37" s="20" t="inlineStr">
        <is>
          <t>Core</t>
        </is>
      </c>
      <c r="B37" s="20" t="inlineStr">
        <is>
          <t>10969386</t>
        </is>
      </c>
      <c r="C37" s="20" t="inlineStr">
        <is>
          <t>BEER MILK STOUT CBC 340ML NRB</t>
        </is>
      </c>
      <c r="D37" s="20" t="n">
        <v>143</v>
      </c>
      <c r="E37" s="20" t="n">
        <v>138</v>
      </c>
      <c r="F37" s="14">
        <f>IF(D37=0,"",E37/D37)</f>
        <v/>
      </c>
      <c r="G37" s="15">
        <f>SUMIF(Data!$B$5:$B$128,$B37,Data!$M$5:$M$128)</f>
        <v/>
      </c>
      <c r="H37" s="23">
        <f>SUMIF(Data!$B$5:$B$128,$B37,Data!$N$5:$N$128)</f>
        <v/>
      </c>
      <c r="I37" s="24">
        <f>IF(SUMIF($A:$A,$A37,$H:$H)=0,"",H37/SUMIF($A:$A,$A37,$H:$H))</f>
        <v/>
      </c>
    </row>
  </sheetData>
  <autoFilter ref="A4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2026-08-18T09:37:14Z</dcterms:created>
  <dcterms:modified xsi:type="dcterms:W3CDTF">2026-08-18T09:37:14Z</dcterms:modified>
</cp:coreProperties>
</file>